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dad\2025_2\investigacion\"/>
    </mc:Choice>
  </mc:AlternateContent>
  <xr:revisionPtr revIDLastSave="0" documentId="13_ncr:1_{CA3911A3-4D1E-4329-8E2A-FCEBCDAD3F39}" xr6:coauthVersionLast="47" xr6:coauthVersionMax="47" xr10:uidLastSave="{00000000-0000-0000-0000-000000000000}"/>
  <bookViews>
    <workbookView xWindow="-110" yWindow="-110" windowWidth="25820" windowHeight="15500" activeTab="1" xr2:uid="{6276F8FB-3731-4223-87B3-9FC76EB59294}"/>
  </bookViews>
  <sheets>
    <sheet name="LaFeO3" sheetId="6" r:id="rId1"/>
    <sheet name="Bi2CoCrO6" sheetId="11" r:id="rId2"/>
    <sheet name="CaFe2O4 (2)" sheetId="4" r:id="rId3"/>
    <sheet name="CaFe2O4" sheetId="2" r:id="rId4"/>
    <sheet name="CuFe2O4" sheetId="3" r:id="rId5"/>
    <sheet name="tables Ca &amp; SR" sheetId="5" r:id="rId6"/>
    <sheet name="Cu SR" sheetId="7" r:id="rId7"/>
    <sheet name="Ca S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1" l="1"/>
  <c r="B66" i="11"/>
  <c r="B67" i="11"/>
  <c r="B61" i="11"/>
  <c r="B60" i="11"/>
  <c r="B56" i="11"/>
  <c r="B58" i="11"/>
  <c r="B57" i="11"/>
  <c r="B55" i="11"/>
  <c r="B54" i="11"/>
  <c r="B53" i="11"/>
  <c r="B19" i="11"/>
  <c r="B18" i="11"/>
  <c r="B16" i="11"/>
  <c r="B22" i="11" s="1"/>
  <c r="B30" i="11" s="1"/>
  <c r="B12" i="6"/>
  <c r="B13" i="6"/>
  <c r="B17" i="11"/>
  <c r="B11" i="11"/>
  <c r="B10" i="11"/>
  <c r="B51" i="2"/>
  <c r="B10" i="9"/>
  <c r="B9" i="9"/>
  <c r="B11" i="9" s="1"/>
  <c r="B14" i="9" s="1"/>
  <c r="B19" i="7"/>
  <c r="B9" i="7"/>
  <c r="B29" i="7"/>
  <c r="B28" i="7"/>
  <c r="B23" i="7"/>
  <c r="B22" i="7"/>
  <c r="B20" i="7"/>
  <c r="B14" i="7"/>
  <c r="B11" i="7"/>
  <c r="B10" i="7"/>
  <c r="B47" i="3"/>
  <c r="I20" i="5"/>
  <c r="J20" i="5" s="1"/>
  <c r="K20" i="5" s="1"/>
  <c r="L20" i="5" s="1"/>
  <c r="C15" i="5"/>
  <c r="J16" i="5"/>
  <c r="I21" i="5"/>
  <c r="B24" i="6"/>
  <c r="B14" i="6"/>
  <c r="B47" i="6"/>
  <c r="B46" i="6"/>
  <c r="B50" i="6" s="1"/>
  <c r="B44" i="6"/>
  <c r="B43" i="6"/>
  <c r="B42" i="6"/>
  <c r="B18" i="6"/>
  <c r="B27" i="6" s="1"/>
  <c r="B32" i="6" s="1"/>
  <c r="B15" i="6"/>
  <c r="B10" i="6"/>
  <c r="B9" i="6"/>
  <c r="C17" i="5"/>
  <c r="I17" i="5"/>
  <c r="G16" i="5"/>
  <c r="I16" i="5" s="1"/>
  <c r="B57" i="2"/>
  <c r="D51" i="2"/>
  <c r="C18" i="5"/>
  <c r="C16" i="5"/>
  <c r="C14" i="5"/>
  <c r="C10" i="5"/>
  <c r="C9" i="5"/>
  <c r="C13" i="5" s="1"/>
  <c r="B18" i="3"/>
  <c r="B51" i="4"/>
  <c r="B53" i="4" s="1"/>
  <c r="B54" i="4" s="1"/>
  <c r="B45" i="4"/>
  <c r="B48" i="4"/>
  <c r="B44" i="4"/>
  <c r="B43" i="4"/>
  <c r="B47" i="4" s="1"/>
  <c r="B15" i="4"/>
  <c r="B14" i="4"/>
  <c r="B18" i="4" s="1"/>
  <c r="B13" i="4"/>
  <c r="B10" i="4"/>
  <c r="B9" i="4"/>
  <c r="B12" i="4" s="1"/>
  <c r="B12" i="2"/>
  <c r="B18" i="2"/>
  <c r="B23" i="2" s="1"/>
  <c r="B31" i="2" s="1"/>
  <c r="B15" i="2"/>
  <c r="B50" i="3"/>
  <c r="B12" i="3"/>
  <c r="B44" i="3"/>
  <c r="B43" i="3"/>
  <c r="B42" i="3"/>
  <c r="B15" i="3"/>
  <c r="B14" i="3"/>
  <c r="B10" i="3"/>
  <c r="B9" i="3"/>
  <c r="B13" i="3" s="1"/>
  <c r="B45" i="2"/>
  <c r="B48" i="2" s="1"/>
  <c r="B44" i="2"/>
  <c r="B43" i="2"/>
  <c r="B14" i="2"/>
  <c r="B10" i="2"/>
  <c r="B9" i="2"/>
  <c r="B70" i="11" l="1"/>
  <c r="B13" i="11"/>
  <c r="B15" i="11"/>
  <c r="B34" i="11" s="1"/>
  <c r="B42" i="11" s="1"/>
  <c r="B14" i="11"/>
  <c r="B28" i="11"/>
  <c r="B29" i="11"/>
  <c r="B19" i="9"/>
  <c r="B22" i="9" s="1"/>
  <c r="B28" i="9" s="1"/>
  <c r="B20" i="9"/>
  <c r="B23" i="9" s="1"/>
  <c r="B29" i="9" s="1"/>
  <c r="J21" i="5"/>
  <c r="K21" i="5" s="1"/>
  <c r="L21" i="5" s="1"/>
  <c r="C12" i="5"/>
  <c r="K16" i="5"/>
  <c r="J17" i="5"/>
  <c r="K17" i="5" s="1"/>
  <c r="B52" i="6"/>
  <c r="B53" i="6" s="1"/>
  <c r="B56" i="6" s="1"/>
  <c r="B23" i="6"/>
  <c r="B26" i="6" s="1"/>
  <c r="B31" i="6" s="1"/>
  <c r="B26" i="2"/>
  <c r="B24" i="4"/>
  <c r="B23" i="4"/>
  <c r="B57" i="4"/>
  <c r="B13" i="2"/>
  <c r="B47" i="2"/>
  <c r="B53" i="2" s="1"/>
  <c r="B54" i="2" s="1"/>
  <c r="B46" i="3"/>
  <c r="B24" i="3"/>
  <c r="B27" i="3" s="1"/>
  <c r="B32" i="3" s="1"/>
  <c r="B23" i="3"/>
  <c r="B52" i="3"/>
  <c r="B53" i="3" s="1"/>
  <c r="B56" i="3" s="1"/>
  <c r="B24" i="2"/>
  <c r="B32" i="11" l="1"/>
  <c r="B33" i="11"/>
  <c r="B40" i="11"/>
  <c r="B41" i="11"/>
  <c r="B27" i="2"/>
  <c r="B32" i="2"/>
  <c r="B31" i="4"/>
  <c r="B26" i="4"/>
  <c r="B32" i="4"/>
  <c r="B27" i="4"/>
  <c r="B26" i="3"/>
  <c r="B31" i="3" s="1"/>
</calcChain>
</file>

<file path=xl/sharedStrings.xml><?xml version="1.0" encoding="utf-8"?>
<sst xmlns="http://schemas.openxmlformats.org/spreadsheetml/2006/main" count="555" uniqueCount="109">
  <si>
    <t>Fe</t>
  </si>
  <si>
    <t>Ca</t>
  </si>
  <si>
    <t>O</t>
  </si>
  <si>
    <t>H</t>
  </si>
  <si>
    <t>N</t>
  </si>
  <si>
    <t>NO3</t>
  </si>
  <si>
    <t>H2O</t>
  </si>
  <si>
    <t>Ca(NO3)2*4H2O</t>
  </si>
  <si>
    <t>CaFe2O4</t>
  </si>
  <si>
    <t>masa de producto</t>
  </si>
  <si>
    <t>u</t>
  </si>
  <si>
    <t>g</t>
  </si>
  <si>
    <t>moles de producto</t>
  </si>
  <si>
    <t>mol</t>
  </si>
  <si>
    <t>moles 1er precursor</t>
  </si>
  <si>
    <t>moles 2do precursor</t>
  </si>
  <si>
    <r>
      <t xml:space="preserve">1 mol </t>
    </r>
    <r>
      <rPr>
        <b/>
        <sz val="11"/>
        <color theme="1"/>
        <rFont val="Aptos Narrow"/>
        <family val="2"/>
        <scheme val="minor"/>
      </rPr>
      <t>Ca(NO₃)₂·4H₂O</t>
    </r>
    <r>
      <rPr>
        <sz val="11"/>
        <color theme="1"/>
        <rFont val="Aptos Narrow"/>
        <family val="2"/>
        <scheme val="minor"/>
      </rPr>
      <t xml:space="preserve"> per 1 mol CaFe₂O₄</t>
    </r>
  </si>
  <si>
    <r>
      <t xml:space="preserve">2 mol </t>
    </r>
    <r>
      <rPr>
        <b/>
        <sz val="11"/>
        <color theme="1"/>
        <rFont val="Aptos Narrow"/>
        <family val="2"/>
        <scheme val="minor"/>
      </rPr>
      <t>Fe(NO₃)₃·9H₂O</t>
    </r>
    <r>
      <rPr>
        <sz val="11"/>
        <color theme="1"/>
        <rFont val="Aptos Narrow"/>
        <family val="2"/>
        <scheme val="minor"/>
      </rPr>
      <t xml:space="preserve"> per 1 mol CaFe₂O₄</t>
    </r>
  </si>
  <si>
    <t>Prop. moles 1er precursor</t>
  </si>
  <si>
    <t>Prop. moles 2do precursor</t>
  </si>
  <si>
    <t>masa 1er precursor</t>
  </si>
  <si>
    <t>masa 2do precursor</t>
  </si>
  <si>
    <t>Cu</t>
  </si>
  <si>
    <t>Cu(NO3)2*4H2O</t>
  </si>
  <si>
    <t>CuFe2O4</t>
  </si>
  <si>
    <r>
      <t xml:space="preserve">1 mol </t>
    </r>
    <r>
      <rPr>
        <b/>
        <sz val="11"/>
        <color theme="1"/>
        <rFont val="Aptos Narrow"/>
        <family val="2"/>
        <scheme val="minor"/>
      </rPr>
      <t>Cu(NO₃)₂·4H₂O</t>
    </r>
    <r>
      <rPr>
        <sz val="11"/>
        <color theme="1"/>
        <rFont val="Aptos Narrow"/>
        <family val="2"/>
        <scheme val="minor"/>
      </rPr>
      <t xml:space="preserve"> per 1 mol CaFe₂O₄</t>
    </r>
  </si>
  <si>
    <t>Valency</t>
  </si>
  <si>
    <t>C2H5NO2</t>
  </si>
  <si>
    <t>C</t>
  </si>
  <si>
    <t>x</t>
  </si>
  <si>
    <t>phi</t>
  </si>
  <si>
    <t>mol/mol</t>
  </si>
  <si>
    <t>masa combustible</t>
  </si>
  <si>
    <t>masas</t>
  </si>
  <si>
    <t>mol combustible</t>
  </si>
  <si>
    <t>moles combustible</t>
  </si>
  <si>
    <t>pureza 1er precursor</t>
  </si>
  <si>
    <t>pureza 2do precursor</t>
  </si>
  <si>
    <t>masa total 1er precursor</t>
  </si>
  <si>
    <t>masa  total 2do precursor</t>
  </si>
  <si>
    <t>Pureza combustible</t>
  </si>
  <si>
    <t>masa total combustible</t>
  </si>
  <si>
    <t>Fe(NO3)3*9H2O</t>
  </si>
  <si>
    <t>Cu(NO3)2*3H2O</t>
  </si>
  <si>
    <t>denominador</t>
  </si>
  <si>
    <t>numerador/x</t>
  </si>
  <si>
    <t>NiFe2O4</t>
  </si>
  <si>
    <t>Ni(NO₃)₂·6H₂O</t>
  </si>
  <si>
    <t>ZnFe2O4</t>
  </si>
  <si>
    <t>Zn(NO₃)₂·6H₂O</t>
  </si>
  <si>
    <t>CH₄N₂O</t>
  </si>
  <si>
    <t>urea</t>
  </si>
  <si>
    <t>glicina</t>
  </si>
  <si>
    <t>CoFe2O4</t>
  </si>
  <si>
    <t>Co(NO₃)₂·6H₂O</t>
  </si>
  <si>
    <t>MnFe2O4</t>
  </si>
  <si>
    <t>Mn(NO₃)₂·4H₂O</t>
  </si>
  <si>
    <t>bata, guantes de nitrilo, frasco de ambar, frasco plastico pequeño, beaker 500 ml, agitador magnetico 30mm</t>
  </si>
  <si>
    <t>Fe(NO₃)₃·9H₂O</t>
  </si>
  <si>
    <t>Elemento</t>
  </si>
  <si>
    <t>Masa molar [g/mol]</t>
  </si>
  <si>
    <t>$\text{Ca} \text{O}$</t>
  </si>
  <si>
    <t>$\text{Fe}_3 \text{O}_4$</t>
  </si>
  <si>
    <t>Fe3O4</t>
  </si>
  <si>
    <t>CaO</t>
  </si>
  <si>
    <t>$\text{Ca(NO}_3)_2\cdot4\text{H}_2\text{O}$</t>
  </si>
  <si>
    <t>$\text{C}_2\text{H}_5\text{NO}_2$</t>
  </si>
  <si>
    <t>$\text{Ca}\text{Fe}_2 \text{O}_4$</t>
  </si>
  <si>
    <t>Compuesto</t>
  </si>
  <si>
    <t>$\text{Fe(NO}_3)_3\cdot9\text{H}_2\text{O}$</t>
  </si>
  <si>
    <t>Moles</t>
  </si>
  <si>
    <t>Masa [g]</t>
  </si>
  <si>
    <t>$\phi$</t>
  </si>
  <si>
    <t>La</t>
  </si>
  <si>
    <t>La(NO3)3*6H2O</t>
  </si>
  <si>
    <t>LaFeO3</t>
  </si>
  <si>
    <r>
      <t xml:space="preserve">1 mol </t>
    </r>
    <r>
      <rPr>
        <b/>
        <sz val="11"/>
        <color theme="1"/>
        <rFont val="Aptos Narrow"/>
        <family val="2"/>
        <scheme val="minor"/>
      </rPr>
      <t>Fe(NO₃)₃·9H₂O</t>
    </r>
    <r>
      <rPr>
        <sz val="11"/>
        <color theme="1"/>
        <rFont val="Aptos Narrow"/>
        <family val="2"/>
        <scheme val="minor"/>
      </rPr>
      <t xml:space="preserve"> per 1 mol CaFe₂O₄</t>
    </r>
  </si>
  <si>
    <r>
      <t>1 mol La</t>
    </r>
    <r>
      <rPr>
        <b/>
        <sz val="11"/>
        <color theme="1"/>
        <rFont val="Aptos Narrow"/>
        <family val="2"/>
        <scheme val="minor"/>
      </rPr>
      <t>(NO₃)3·6H₂O</t>
    </r>
    <r>
      <rPr>
        <sz val="11"/>
        <color theme="1"/>
        <rFont val="Aptos Narrow"/>
        <family val="2"/>
        <scheme val="minor"/>
      </rPr>
      <t xml:space="preserve"> per 1 mol CaFe₂O₄</t>
    </r>
  </si>
  <si>
    <t>Fe2O3</t>
  </si>
  <si>
    <t>$\text{Fe}_2 \text{O}_3$</t>
  </si>
  <si>
    <t>test</t>
  </si>
  <si>
    <t>CuO</t>
  </si>
  <si>
    <t>prop. molar 1</t>
  </si>
  <si>
    <t>prop. molar 2</t>
  </si>
  <si>
    <t>masa 1</t>
  </si>
  <si>
    <t>masa 2</t>
  </si>
  <si>
    <t>mol 1</t>
  </si>
  <si>
    <t>mol 2</t>
  </si>
  <si>
    <t>pureza 1</t>
  </si>
  <si>
    <t>pureza 2</t>
  </si>
  <si>
    <t>masa total 1</t>
  </si>
  <si>
    <t>masa total 2</t>
  </si>
  <si>
    <t>Bi</t>
  </si>
  <si>
    <t>Bi(NO3)3*5H2O</t>
  </si>
  <si>
    <t>Co</t>
  </si>
  <si>
    <t>Cr</t>
  </si>
  <si>
    <t>Cr(NO3)3*9H2O</t>
  </si>
  <si>
    <t>Co(NO3)2*6H2O</t>
  </si>
  <si>
    <t>Bi2CoCrO6</t>
  </si>
  <si>
    <t>citric acid</t>
  </si>
  <si>
    <t>C6H8O7</t>
  </si>
  <si>
    <t>glicine</t>
  </si>
  <si>
    <t>CH4N2O</t>
  </si>
  <si>
    <t>g/mol</t>
  </si>
  <si>
    <t>Prop. moles 3er precursor</t>
  </si>
  <si>
    <t>moles 3er precursor</t>
  </si>
  <si>
    <t>masa 3er precursor</t>
  </si>
  <si>
    <t>pureza 3er precursor</t>
  </si>
  <si>
    <t>masa total 3er precursor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</si>
</sst>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5" fontId="0" fillId="0" borderId="0" xfId="0" applyNumberFormat="1"/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603250</xdr:colOff>
      <xdr:row>33</xdr:row>
      <xdr:rowOff>57150</xdr:rowOff>
    </xdr:from>
    <xdr:to>
      <xdr:col>10</xdr:col>
      <xdr:colOff>417072</xdr:colOff>
      <xdr:row>58</xdr:row>
      <xdr:rowOff>87487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67543-1CC2-4F65-936A-AF2853CC1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6134100"/>
          <a:ext cx="4081022" cy="4639167"/>
        </a:xfrm>
        <a:prstGeom prst="rect">
          <a:avLst/>
        </a:prstGeom>
      </xdr:spPr>
    </xdr:pic>
    <xdr:clientData/>
  </xdr:twoCellAnchor>
  <xdr:twoCellAnchor editAs="oneCell">
    <xdr:from>
      <xdr:col>11</xdr:col>
      <xdr:colOff>107951</xdr:colOff>
      <xdr:row>34</xdr:row>
      <xdr:rowOff>19051</xdr:rowOff>
    </xdr:from>
    <xdr:to>
      <xdr:col>18</xdr:col>
      <xdr:colOff>584509</xdr:colOff>
      <xdr:row>57</xdr:row>
      <xdr:rowOff>80010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D122E-10B7-4115-8819-ACB1A612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1" y="6280151"/>
          <a:ext cx="4748838" cy="4298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96520</xdr:colOff>
      <xdr:row>44</xdr:row>
      <xdr:rowOff>21590</xdr:rowOff>
    </xdr:from>
    <xdr:to>
      <xdr:col>12</xdr:col>
      <xdr:colOff>528832</xdr:colOff>
      <xdr:row>69</xdr:row>
      <xdr:rowOff>41767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9C74B-9F2D-4BA4-AD13-B6C8FC04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420" y="8124190"/>
          <a:ext cx="4079752" cy="4623927"/>
        </a:xfrm>
        <a:prstGeom prst="rect">
          <a:avLst/>
        </a:prstGeom>
      </xdr:spPr>
    </xdr:pic>
    <xdr:clientData/>
  </xdr:twoCellAnchor>
  <xdr:twoCellAnchor editAs="oneCell">
    <xdr:from>
      <xdr:col>13</xdr:col>
      <xdr:colOff>198121</xdr:colOff>
      <xdr:row>45</xdr:row>
      <xdr:rowOff>15241</xdr:rowOff>
    </xdr:from>
    <xdr:to>
      <xdr:col>21</xdr:col>
      <xdr:colOff>43490</xdr:colOff>
      <xdr:row>68</xdr:row>
      <xdr:rowOff>73659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190E86-A1AC-463A-8DC5-D619C3266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3221" y="8301991"/>
          <a:ext cx="4732329" cy="42925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184150</xdr:colOff>
      <xdr:row>33</xdr:row>
      <xdr:rowOff>129722</xdr:rowOff>
    </xdr:from>
    <xdr:to>
      <xdr:col>10</xdr:col>
      <xdr:colOff>589642</xdr:colOff>
      <xdr:row>58</xdr:row>
      <xdr:rowOff>99771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79106-32A5-4C78-867E-E70B361AF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6206672"/>
          <a:ext cx="4063092" cy="457379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19</xdr:col>
      <xdr:colOff>460720</xdr:colOff>
      <xdr:row>57</xdr:row>
      <xdr:rowOff>3361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88F1DD-186F-42BC-9153-C0005D50B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0" y="6261100"/>
          <a:ext cx="4727920" cy="42388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184150</xdr:colOff>
      <xdr:row>33</xdr:row>
      <xdr:rowOff>129722</xdr:rowOff>
    </xdr:from>
    <xdr:to>
      <xdr:col>10</xdr:col>
      <xdr:colOff>589642</xdr:colOff>
      <xdr:row>58</xdr:row>
      <xdr:rowOff>99771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E5BE5-2488-A72F-288A-75E2C2E1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8721" y="6116865"/>
          <a:ext cx="4052207" cy="450576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19</xdr:col>
      <xdr:colOff>460720</xdr:colOff>
      <xdr:row>57</xdr:row>
      <xdr:rowOff>3361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5699B8-80E5-4A64-97B3-77227DABA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4882" y="6350000"/>
          <a:ext cx="4748838" cy="42989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603250</xdr:colOff>
      <xdr:row>33</xdr:row>
      <xdr:rowOff>57150</xdr:rowOff>
    </xdr:from>
    <xdr:to>
      <xdr:col>10</xdr:col>
      <xdr:colOff>417072</xdr:colOff>
      <xdr:row>58</xdr:row>
      <xdr:rowOff>98917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2304B3-0D95-4DC8-9DDD-166CF1630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6134100"/>
          <a:ext cx="4081022" cy="4639167"/>
        </a:xfrm>
        <a:prstGeom prst="rect">
          <a:avLst/>
        </a:prstGeom>
      </xdr:spPr>
    </xdr:pic>
    <xdr:clientData/>
  </xdr:twoCellAnchor>
  <xdr:twoCellAnchor editAs="oneCell">
    <xdr:from>
      <xdr:col>11</xdr:col>
      <xdr:colOff>465861</xdr:colOff>
      <xdr:row>33</xdr:row>
      <xdr:rowOff>128733</xdr:rowOff>
    </xdr:from>
    <xdr:to>
      <xdr:col>19</xdr:col>
      <xdr:colOff>325429</xdr:colOff>
      <xdr:row>57</xdr:row>
      <xdr:rowOff>24015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18B0EF-D133-4CD0-C65F-74BAE7170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2043" y="6224733"/>
          <a:ext cx="4765001" cy="4312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90FF-48D0-4334-99A9-6736B02E386A}">
  <dimension ref="A1:E56"/>
  <sheetViews>
    <sheetView topLeftCell="A10" zoomScale="110" workbookViewId="0">
      <selection activeCell="F11" sqref="F11"/>
    </sheetView>
  </sheetViews>
  <sheetFormatPr defaultRowHeight="14.4" x14ac:dyDescent="0.3"/>
  <cols>
    <col min="1" max="1" width="22.21875" customWidth="1"/>
  </cols>
  <sheetData>
    <row r="1" spans="1:3" x14ac:dyDescent="0.3">
      <c r="B1" t="s">
        <v>33</v>
      </c>
    </row>
    <row r="2" spans="1:3" x14ac:dyDescent="0.3">
      <c r="A2" t="s">
        <v>0</v>
      </c>
      <c r="B2">
        <v>55.844999999999999</v>
      </c>
      <c r="C2" s="1" t="s">
        <v>10</v>
      </c>
    </row>
    <row r="3" spans="1:3" x14ac:dyDescent="0.3">
      <c r="A3" t="s">
        <v>73</v>
      </c>
      <c r="B3">
        <v>138.90547000000001</v>
      </c>
      <c r="C3" s="1" t="s">
        <v>10</v>
      </c>
    </row>
    <row r="4" spans="1:3" x14ac:dyDescent="0.3">
      <c r="A4" t="s">
        <v>2</v>
      </c>
      <c r="B4">
        <v>15.999000000000001</v>
      </c>
      <c r="C4" s="1" t="s">
        <v>10</v>
      </c>
    </row>
    <row r="5" spans="1:3" x14ac:dyDescent="0.3">
      <c r="A5" t="s">
        <v>3</v>
      </c>
      <c r="B5">
        <v>1.0078400000000001</v>
      </c>
      <c r="C5" s="1" t="s">
        <v>10</v>
      </c>
    </row>
    <row r="6" spans="1:3" x14ac:dyDescent="0.3">
      <c r="A6" t="s">
        <v>4</v>
      </c>
      <c r="B6">
        <v>14.007</v>
      </c>
      <c r="C6" s="1" t="s">
        <v>10</v>
      </c>
    </row>
    <row r="7" spans="1:3" x14ac:dyDescent="0.3">
      <c r="A7" t="s">
        <v>28</v>
      </c>
      <c r="B7">
        <v>12.010999999999999</v>
      </c>
      <c r="C7" s="1" t="s">
        <v>10</v>
      </c>
    </row>
    <row r="9" spans="1:3" x14ac:dyDescent="0.3">
      <c r="A9" t="s">
        <v>5</v>
      </c>
      <c r="B9">
        <f>B6+B4*3</f>
        <v>62.003999999999998</v>
      </c>
      <c r="C9" s="1" t="s">
        <v>10</v>
      </c>
    </row>
    <row r="10" spans="1:3" x14ac:dyDescent="0.3">
      <c r="A10" t="s">
        <v>6</v>
      </c>
      <c r="B10">
        <f>B5*2+B4</f>
        <v>18.014680000000002</v>
      </c>
      <c r="C10" s="1" t="s">
        <v>10</v>
      </c>
    </row>
    <row r="12" spans="1:3" x14ac:dyDescent="0.3">
      <c r="A12" t="s">
        <v>74</v>
      </c>
      <c r="B12">
        <f>B3+3*B9+6*B10</f>
        <v>433.00554999999997</v>
      </c>
      <c r="C12" s="1" t="s">
        <v>10</v>
      </c>
    </row>
    <row r="13" spans="1:3" x14ac:dyDescent="0.3">
      <c r="A13" t="s">
        <v>42</v>
      </c>
      <c r="B13">
        <f>B2+3*B9+9*B10</f>
        <v>403.98912000000001</v>
      </c>
      <c r="C13" s="1" t="s">
        <v>10</v>
      </c>
    </row>
    <row r="14" spans="1:3" x14ac:dyDescent="0.3">
      <c r="A14" t="s">
        <v>75</v>
      </c>
      <c r="B14">
        <f>B3+B2+3*B4</f>
        <v>242.74747000000002</v>
      </c>
      <c r="C14" s="1" t="s">
        <v>10</v>
      </c>
    </row>
    <row r="15" spans="1:3" x14ac:dyDescent="0.3">
      <c r="A15" t="s">
        <v>27</v>
      </c>
      <c r="B15">
        <f>2*B7+5*B5+B6+2*B4</f>
        <v>75.066199999999995</v>
      </c>
      <c r="C15" s="1" t="s">
        <v>10</v>
      </c>
    </row>
    <row r="17" spans="1:5" x14ac:dyDescent="0.3">
      <c r="A17" t="s">
        <v>9</v>
      </c>
      <c r="B17">
        <v>1</v>
      </c>
      <c r="C17" s="1" t="s">
        <v>11</v>
      </c>
    </row>
    <row r="18" spans="1:5" x14ac:dyDescent="0.3">
      <c r="A18" t="s">
        <v>12</v>
      </c>
      <c r="B18">
        <f>B17/B14</f>
        <v>4.1195074041348399E-3</v>
      </c>
      <c r="C18" s="1" t="s">
        <v>13</v>
      </c>
    </row>
    <row r="20" spans="1:5" x14ac:dyDescent="0.3">
      <c r="A20" t="s">
        <v>18</v>
      </c>
      <c r="B20">
        <v>1</v>
      </c>
      <c r="E20" t="s">
        <v>77</v>
      </c>
    </row>
    <row r="21" spans="1:5" x14ac:dyDescent="0.3">
      <c r="A21" t="s">
        <v>19</v>
      </c>
      <c r="B21">
        <v>1</v>
      </c>
      <c r="E21" t="s">
        <v>76</v>
      </c>
    </row>
    <row r="23" spans="1:5" x14ac:dyDescent="0.3">
      <c r="A23" t="s">
        <v>14</v>
      </c>
      <c r="B23">
        <f>B20*B18</f>
        <v>4.1195074041348399E-3</v>
      </c>
      <c r="C23" s="1" t="s">
        <v>13</v>
      </c>
    </row>
    <row r="24" spans="1:5" x14ac:dyDescent="0.3">
      <c r="A24" t="s">
        <v>15</v>
      </c>
      <c r="B24">
        <f>B21*B18</f>
        <v>4.1195074041348399E-3</v>
      </c>
      <c r="C24" s="1" t="s">
        <v>13</v>
      </c>
    </row>
    <row r="26" spans="1:5" x14ac:dyDescent="0.3">
      <c r="A26" t="s">
        <v>20</v>
      </c>
      <c r="B26">
        <f>B23*B12</f>
        <v>1.7837695692564786</v>
      </c>
      <c r="C26" s="1" t="s">
        <v>11</v>
      </c>
    </row>
    <row r="27" spans="1:5" x14ac:dyDescent="0.3">
      <c r="A27" t="s">
        <v>21</v>
      </c>
      <c r="B27">
        <f>B24*B13</f>
        <v>1.6642361710299183</v>
      </c>
      <c r="C27" s="1" t="s">
        <v>11</v>
      </c>
    </row>
    <row r="29" spans="1:5" x14ac:dyDescent="0.3">
      <c r="A29" t="s">
        <v>36</v>
      </c>
      <c r="B29">
        <v>0.99</v>
      </c>
    </row>
    <row r="30" spans="1:5" x14ac:dyDescent="0.3">
      <c r="A30" t="s">
        <v>37</v>
      </c>
      <c r="B30">
        <v>0.99</v>
      </c>
    </row>
    <row r="31" spans="1:5" x14ac:dyDescent="0.3">
      <c r="A31" t="s">
        <v>38</v>
      </c>
      <c r="B31">
        <f>B26/B29</f>
        <v>1.8017874436934127</v>
      </c>
      <c r="C31" t="s">
        <v>11</v>
      </c>
    </row>
    <row r="32" spans="1:5" x14ac:dyDescent="0.3">
      <c r="A32" t="s">
        <v>39</v>
      </c>
      <c r="B32">
        <f>B27/B30</f>
        <v>1.6810466374039579</v>
      </c>
      <c r="C32" t="s">
        <v>11</v>
      </c>
    </row>
    <row r="34" spans="1:2" x14ac:dyDescent="0.3">
      <c r="A34" t="s">
        <v>26</v>
      </c>
    </row>
    <row r="35" spans="1:2" x14ac:dyDescent="0.3">
      <c r="A35" t="s">
        <v>0</v>
      </c>
      <c r="B35">
        <v>3</v>
      </c>
    </row>
    <row r="36" spans="1:2" x14ac:dyDescent="0.3">
      <c r="A36" t="s">
        <v>22</v>
      </c>
      <c r="B36">
        <v>2</v>
      </c>
    </row>
    <row r="37" spans="1:2" x14ac:dyDescent="0.3">
      <c r="A37" t="s">
        <v>2</v>
      </c>
      <c r="B37">
        <v>-2</v>
      </c>
    </row>
    <row r="38" spans="1:2" x14ac:dyDescent="0.3">
      <c r="A38" t="s">
        <v>3</v>
      </c>
      <c r="B38">
        <v>1</v>
      </c>
    </row>
    <row r="39" spans="1:2" x14ac:dyDescent="0.3">
      <c r="A39" t="s">
        <v>4</v>
      </c>
      <c r="B39">
        <v>0</v>
      </c>
    </row>
    <row r="40" spans="1:2" x14ac:dyDescent="0.3">
      <c r="A40" t="s">
        <v>28</v>
      </c>
      <c r="B40">
        <v>4</v>
      </c>
    </row>
    <row r="42" spans="1:2" x14ac:dyDescent="0.3">
      <c r="A42" t="s">
        <v>23</v>
      </c>
      <c r="B42">
        <f>B36+6*B37</f>
        <v>-10</v>
      </c>
    </row>
    <row r="43" spans="1:2" x14ac:dyDescent="0.3">
      <c r="A43" t="s">
        <v>42</v>
      </c>
      <c r="B43">
        <f>B35+9*B37</f>
        <v>-15</v>
      </c>
    </row>
    <row r="44" spans="1:2" x14ac:dyDescent="0.3">
      <c r="A44" t="s">
        <v>27</v>
      </c>
      <c r="B44">
        <f>2*B40+5*B38+2*B37</f>
        <v>9</v>
      </c>
    </row>
    <row r="46" spans="1:2" x14ac:dyDescent="0.3">
      <c r="A46" t="s">
        <v>44</v>
      </c>
      <c r="B46">
        <f>B42*B20+B43*B21</f>
        <v>-25</v>
      </c>
    </row>
    <row r="47" spans="1:2" x14ac:dyDescent="0.3">
      <c r="A47" t="s">
        <v>45</v>
      </c>
      <c r="B47">
        <f>B44</f>
        <v>9</v>
      </c>
    </row>
    <row r="49" spans="1:3" x14ac:dyDescent="0.3">
      <c r="A49" t="s">
        <v>30</v>
      </c>
      <c r="B49">
        <v>1.2</v>
      </c>
    </row>
    <row r="50" spans="1:3" x14ac:dyDescent="0.3">
      <c r="A50" t="s">
        <v>29</v>
      </c>
      <c r="B50">
        <f>-B46*B49/B47</f>
        <v>3.3333333333333335</v>
      </c>
      <c r="C50" t="s">
        <v>31</v>
      </c>
    </row>
    <row r="52" spans="1:3" x14ac:dyDescent="0.3">
      <c r="A52" t="s">
        <v>35</v>
      </c>
      <c r="B52">
        <f>B50*B18</f>
        <v>1.3731691347116133E-2</v>
      </c>
      <c r="C52" t="s">
        <v>13</v>
      </c>
    </row>
    <row r="53" spans="1:3" x14ac:dyDescent="0.3">
      <c r="A53" t="s">
        <v>32</v>
      </c>
      <c r="B53">
        <f>B15*B52</f>
        <v>1.030785889000889</v>
      </c>
      <c r="C53" t="s">
        <v>11</v>
      </c>
    </row>
    <row r="55" spans="1:3" x14ac:dyDescent="0.3">
      <c r="A55" t="s">
        <v>40</v>
      </c>
      <c r="B55">
        <v>0.98499999999999999</v>
      </c>
    </row>
    <row r="56" spans="1:3" x14ac:dyDescent="0.3">
      <c r="A56" t="s">
        <v>41</v>
      </c>
      <c r="B56">
        <f>B53/B55</f>
        <v>1.0464831360415117</v>
      </c>
      <c r="C56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7461-16E9-494A-BE80-22123917D54E}">
  <dimension ref="A1:F70"/>
  <sheetViews>
    <sheetView tabSelected="1" topLeftCell="A40" zoomScaleNormal="100" workbookViewId="0">
      <selection activeCell="D62" sqref="D62"/>
    </sheetView>
  </sheetViews>
  <sheetFormatPr defaultRowHeight="14.4" x14ac:dyDescent="0.3"/>
  <cols>
    <col min="1" max="1" width="22.21875" customWidth="1"/>
    <col min="2" max="2" width="12" bestFit="1" customWidth="1"/>
  </cols>
  <sheetData>
    <row r="1" spans="1:6" x14ac:dyDescent="0.3">
      <c r="B1" t="s">
        <v>33</v>
      </c>
    </row>
    <row r="2" spans="1:6" x14ac:dyDescent="0.3">
      <c r="A2" t="s">
        <v>92</v>
      </c>
      <c r="B2">
        <v>208.9804</v>
      </c>
      <c r="C2" s="1" t="s">
        <v>10</v>
      </c>
    </row>
    <row r="3" spans="1:6" x14ac:dyDescent="0.3">
      <c r="A3" t="s">
        <v>94</v>
      </c>
      <c r="B3">
        <v>58.933194</v>
      </c>
      <c r="C3" s="1" t="s">
        <v>10</v>
      </c>
      <c r="E3" s="10" t="s">
        <v>101</v>
      </c>
      <c r="F3" t="s">
        <v>27</v>
      </c>
    </row>
    <row r="4" spans="1:6" x14ac:dyDescent="0.3">
      <c r="A4" t="s">
        <v>95</v>
      </c>
      <c r="B4">
        <v>51.996099999999998</v>
      </c>
      <c r="C4" s="1" t="s">
        <v>10</v>
      </c>
      <c r="E4" s="10" t="s">
        <v>99</v>
      </c>
      <c r="F4" t="s">
        <v>100</v>
      </c>
    </row>
    <row r="5" spans="1:6" x14ac:dyDescent="0.3">
      <c r="A5" t="s">
        <v>2</v>
      </c>
      <c r="B5">
        <v>15.999000000000001</v>
      </c>
      <c r="C5" s="1" t="s">
        <v>10</v>
      </c>
      <c r="E5" s="10" t="s">
        <v>51</v>
      </c>
      <c r="F5" t="s">
        <v>102</v>
      </c>
    </row>
    <row r="6" spans="1:6" x14ac:dyDescent="0.3">
      <c r="A6" t="s">
        <v>3</v>
      </c>
      <c r="B6">
        <v>1.0078400000000001</v>
      </c>
      <c r="C6" s="1" t="s">
        <v>10</v>
      </c>
    </row>
    <row r="7" spans="1:6" x14ac:dyDescent="0.3">
      <c r="A7" t="s">
        <v>4</v>
      </c>
      <c r="B7">
        <v>14.007</v>
      </c>
      <c r="C7" s="1" t="s">
        <v>10</v>
      </c>
    </row>
    <row r="8" spans="1:6" x14ac:dyDescent="0.3">
      <c r="A8" t="s">
        <v>28</v>
      </c>
      <c r="B8">
        <v>12.010999999999999</v>
      </c>
      <c r="C8" s="1" t="s">
        <v>10</v>
      </c>
    </row>
    <row r="10" spans="1:6" x14ac:dyDescent="0.3">
      <c r="A10" t="s">
        <v>5</v>
      </c>
      <c r="B10">
        <f>B7+B5*3</f>
        <v>62.003999999999998</v>
      </c>
      <c r="C10" s="1" t="s">
        <v>103</v>
      </c>
    </row>
    <row r="11" spans="1:6" x14ac:dyDescent="0.3">
      <c r="A11" t="s">
        <v>6</v>
      </c>
      <c r="B11">
        <f>B6*2+B5</f>
        <v>18.014680000000002</v>
      </c>
      <c r="C11" s="1" t="s">
        <v>103</v>
      </c>
    </row>
    <row r="13" spans="1:6" x14ac:dyDescent="0.3">
      <c r="A13" t="s">
        <v>93</v>
      </c>
      <c r="B13">
        <f>B2+3*B10+5*B11</f>
        <v>485.06579999999997</v>
      </c>
      <c r="C13" s="1" t="s">
        <v>103</v>
      </c>
    </row>
    <row r="14" spans="1:6" x14ac:dyDescent="0.3">
      <c r="A14" t="s">
        <v>97</v>
      </c>
      <c r="B14">
        <f>B3+2*B10+6*B11</f>
        <v>291.02927399999999</v>
      </c>
      <c r="C14" s="1" t="s">
        <v>103</v>
      </c>
    </row>
    <row r="15" spans="1:6" x14ac:dyDescent="0.3">
      <c r="A15" t="s">
        <v>96</v>
      </c>
      <c r="B15">
        <f>B4+3*B10+9*B11</f>
        <v>400.14022</v>
      </c>
      <c r="C15" s="1" t="s">
        <v>103</v>
      </c>
    </row>
    <row r="16" spans="1:6" x14ac:dyDescent="0.3">
      <c r="A16" t="s">
        <v>98</v>
      </c>
      <c r="B16">
        <f>2*B2+B3+B4+6*B5</f>
        <v>624.884094</v>
      </c>
      <c r="C16" s="1" t="s">
        <v>103</v>
      </c>
    </row>
    <row r="17" spans="1:5" x14ac:dyDescent="0.3">
      <c r="A17" t="s">
        <v>27</v>
      </c>
      <c r="B17">
        <f>2*B8+5*B6+B7+2*B5</f>
        <v>75.066199999999995</v>
      </c>
      <c r="C17" s="1" t="s">
        <v>103</v>
      </c>
    </row>
    <row r="18" spans="1:5" x14ac:dyDescent="0.3">
      <c r="A18" t="s">
        <v>100</v>
      </c>
      <c r="B18">
        <f>6*B8+8*B6+7*B5</f>
        <v>192.12172000000001</v>
      </c>
      <c r="C18" s="1" t="s">
        <v>103</v>
      </c>
    </row>
    <row r="19" spans="1:5" x14ac:dyDescent="0.3">
      <c r="A19" t="s">
        <v>102</v>
      </c>
      <c r="B19">
        <f>B8+4*B6+2*B7+B5</f>
        <v>60.05536</v>
      </c>
      <c r="C19" s="1" t="s">
        <v>103</v>
      </c>
    </row>
    <row r="21" spans="1:5" x14ac:dyDescent="0.3">
      <c r="A21" t="s">
        <v>9</v>
      </c>
      <c r="B21">
        <v>2</v>
      </c>
      <c r="C21" s="1" t="s">
        <v>11</v>
      </c>
    </row>
    <row r="22" spans="1:5" x14ac:dyDescent="0.3">
      <c r="A22" t="s">
        <v>12</v>
      </c>
      <c r="B22">
        <f>B21/B16</f>
        <v>3.2005935487933864E-3</v>
      </c>
      <c r="C22" s="1" t="s">
        <v>13</v>
      </c>
    </row>
    <row r="24" spans="1:5" x14ac:dyDescent="0.3">
      <c r="A24" t="s">
        <v>18</v>
      </c>
      <c r="B24">
        <v>2</v>
      </c>
      <c r="E24" t="s">
        <v>93</v>
      </c>
    </row>
    <row r="25" spans="1:5" x14ac:dyDescent="0.3">
      <c r="A25" t="s">
        <v>19</v>
      </c>
      <c r="B25">
        <v>1</v>
      </c>
      <c r="E25" t="s">
        <v>97</v>
      </c>
    </row>
    <row r="26" spans="1:5" x14ac:dyDescent="0.3">
      <c r="A26" t="s">
        <v>104</v>
      </c>
      <c r="B26">
        <v>1</v>
      </c>
      <c r="E26" t="s">
        <v>96</v>
      </c>
    </row>
    <row r="28" spans="1:5" x14ac:dyDescent="0.3">
      <c r="A28" t="s">
        <v>14</v>
      </c>
      <c r="B28">
        <f>B24*B22</f>
        <v>6.4011870975867729E-3</v>
      </c>
      <c r="C28" s="1" t="s">
        <v>13</v>
      </c>
    </row>
    <row r="29" spans="1:5" x14ac:dyDescent="0.3">
      <c r="A29" t="s">
        <v>15</v>
      </c>
      <c r="B29">
        <f>B25*B22</f>
        <v>3.2005935487933864E-3</v>
      </c>
      <c r="C29" s="1" t="s">
        <v>13</v>
      </c>
    </row>
    <row r="30" spans="1:5" x14ac:dyDescent="0.3">
      <c r="A30" t="s">
        <v>105</v>
      </c>
      <c r="B30">
        <f>B22*B26</f>
        <v>3.2005935487933864E-3</v>
      </c>
      <c r="C30" s="1" t="s">
        <v>13</v>
      </c>
    </row>
    <row r="32" spans="1:5" x14ac:dyDescent="0.3">
      <c r="A32" t="s">
        <v>20</v>
      </c>
      <c r="B32">
        <f>B28*B13</f>
        <v>3.1049969404406057</v>
      </c>
      <c r="C32" s="1" t="s">
        <v>11</v>
      </c>
      <c r="E32" t="s">
        <v>93</v>
      </c>
    </row>
    <row r="33" spans="1:5" x14ac:dyDescent="0.3">
      <c r="A33" t="s">
        <v>21</v>
      </c>
      <c r="B33">
        <f>B29*B14</f>
        <v>0.93146641687442278</v>
      </c>
      <c r="C33" s="1" t="s">
        <v>11</v>
      </c>
      <c r="E33" t="s">
        <v>97</v>
      </c>
    </row>
    <row r="34" spans="1:5" x14ac:dyDescent="0.3">
      <c r="A34" t="s">
        <v>106</v>
      </c>
      <c r="B34">
        <f>B30*B15</f>
        <v>1.2806862067447664</v>
      </c>
      <c r="C34" s="1" t="s">
        <v>11</v>
      </c>
      <c r="E34" t="s">
        <v>96</v>
      </c>
    </row>
    <row r="36" spans="1:5" x14ac:dyDescent="0.3">
      <c r="A36" t="s">
        <v>36</v>
      </c>
      <c r="B36">
        <v>0.99</v>
      </c>
    </row>
    <row r="37" spans="1:5" x14ac:dyDescent="0.3">
      <c r="A37" t="s">
        <v>37</v>
      </c>
      <c r="B37">
        <v>0.99</v>
      </c>
    </row>
    <row r="38" spans="1:5" x14ac:dyDescent="0.3">
      <c r="A38" t="s">
        <v>107</v>
      </c>
      <c r="B38">
        <v>0.99</v>
      </c>
    </row>
    <row r="40" spans="1:5" x14ac:dyDescent="0.3">
      <c r="A40" t="s">
        <v>38</v>
      </c>
      <c r="B40">
        <f>B32/B36</f>
        <v>3.1363605458996018</v>
      </c>
      <c r="C40" t="s">
        <v>11</v>
      </c>
    </row>
    <row r="41" spans="1:5" x14ac:dyDescent="0.3">
      <c r="A41" t="s">
        <v>39</v>
      </c>
      <c r="B41">
        <f>B33/B37</f>
        <v>0.94087516856002307</v>
      </c>
      <c r="C41" t="s">
        <v>11</v>
      </c>
    </row>
    <row r="42" spans="1:5" x14ac:dyDescent="0.3">
      <c r="A42" t="s">
        <v>108</v>
      </c>
      <c r="B42">
        <f>B34/B38</f>
        <v>1.2936224310553197</v>
      </c>
      <c r="C42" t="s">
        <v>11</v>
      </c>
    </row>
    <row r="44" spans="1:5" x14ac:dyDescent="0.3">
      <c r="A44" t="s">
        <v>26</v>
      </c>
    </row>
    <row r="45" spans="1:5" x14ac:dyDescent="0.3">
      <c r="A45" t="s">
        <v>92</v>
      </c>
      <c r="B45">
        <v>3</v>
      </c>
    </row>
    <row r="46" spans="1:5" x14ac:dyDescent="0.3">
      <c r="A46" t="s">
        <v>94</v>
      </c>
      <c r="B46">
        <v>2</v>
      </c>
    </row>
    <row r="47" spans="1:5" x14ac:dyDescent="0.3">
      <c r="A47" t="s">
        <v>95</v>
      </c>
      <c r="B47">
        <v>3</v>
      </c>
    </row>
    <row r="48" spans="1:5" x14ac:dyDescent="0.3">
      <c r="A48" t="s">
        <v>2</v>
      </c>
      <c r="B48">
        <v>-2</v>
      </c>
    </row>
    <row r="49" spans="1:3" x14ac:dyDescent="0.3">
      <c r="A49" t="s">
        <v>3</v>
      </c>
      <c r="B49">
        <v>1</v>
      </c>
    </row>
    <row r="50" spans="1:3" x14ac:dyDescent="0.3">
      <c r="A50" t="s">
        <v>4</v>
      </c>
      <c r="B50">
        <v>0</v>
      </c>
    </row>
    <row r="51" spans="1:3" x14ac:dyDescent="0.3">
      <c r="A51" t="s">
        <v>28</v>
      </c>
      <c r="B51">
        <v>4</v>
      </c>
    </row>
    <row r="53" spans="1:3" x14ac:dyDescent="0.3">
      <c r="A53" t="s">
        <v>93</v>
      </c>
      <c r="B53">
        <f>B45+3*(B50+3*B48)</f>
        <v>-15</v>
      </c>
    </row>
    <row r="54" spans="1:3" x14ac:dyDescent="0.3">
      <c r="A54" t="s">
        <v>97</v>
      </c>
      <c r="B54">
        <f>B46+2*(B50+3*B48)</f>
        <v>-10</v>
      </c>
    </row>
    <row r="55" spans="1:3" x14ac:dyDescent="0.3">
      <c r="A55" t="s">
        <v>96</v>
      </c>
      <c r="B55">
        <f>B47+3*(B50+3*B48)</f>
        <v>-15</v>
      </c>
    </row>
    <row r="56" spans="1:3" x14ac:dyDescent="0.3">
      <c r="A56" t="s">
        <v>27</v>
      </c>
      <c r="B56">
        <f>2*B51+5*B49+2*B48</f>
        <v>9</v>
      </c>
    </row>
    <row r="57" spans="1:3" x14ac:dyDescent="0.3">
      <c r="A57" t="s">
        <v>100</v>
      </c>
      <c r="B57">
        <f>6*B51+8*B49+7*B48</f>
        <v>18</v>
      </c>
    </row>
    <row r="58" spans="1:3" x14ac:dyDescent="0.3">
      <c r="A58" t="s">
        <v>102</v>
      </c>
      <c r="B58">
        <f>B51+4*B49+2*B50+B48</f>
        <v>6</v>
      </c>
    </row>
    <row r="60" spans="1:3" x14ac:dyDescent="0.3">
      <c r="A60" t="s">
        <v>44</v>
      </c>
      <c r="B60">
        <f>B53*B24+B54*B25+B55*B26</f>
        <v>-55</v>
      </c>
    </row>
    <row r="61" spans="1:3" x14ac:dyDescent="0.3">
      <c r="A61" t="s">
        <v>45</v>
      </c>
      <c r="B61">
        <f>B57</f>
        <v>18</v>
      </c>
    </row>
    <row r="63" spans="1:3" x14ac:dyDescent="0.3">
      <c r="A63" t="s">
        <v>30</v>
      </c>
      <c r="B63">
        <v>1</v>
      </c>
    </row>
    <row r="64" spans="1:3" x14ac:dyDescent="0.3">
      <c r="A64" t="s">
        <v>29</v>
      </c>
      <c r="B64">
        <f>-B60*B63/B61</f>
        <v>3.0555555555555554</v>
      </c>
      <c r="C64" t="s">
        <v>31</v>
      </c>
    </row>
    <row r="66" spans="1:5" x14ac:dyDescent="0.3">
      <c r="A66" t="s">
        <v>35</v>
      </c>
      <c r="B66">
        <f>B64*B22</f>
        <v>9.7795913990909016E-3</v>
      </c>
      <c r="C66" t="s">
        <v>13</v>
      </c>
    </row>
    <row r="67" spans="1:5" x14ac:dyDescent="0.3">
      <c r="A67" t="s">
        <v>32</v>
      </c>
      <c r="B67">
        <f>B18*B66</f>
        <v>1.8788719204905506</v>
      </c>
      <c r="C67" t="s">
        <v>11</v>
      </c>
      <c r="D67" s="10" t="s">
        <v>99</v>
      </c>
      <c r="E67" t="s">
        <v>100</v>
      </c>
    </row>
    <row r="69" spans="1:5" x14ac:dyDescent="0.3">
      <c r="A69" t="s">
        <v>40</v>
      </c>
      <c r="B69">
        <v>0.98499999999999999</v>
      </c>
    </row>
    <row r="70" spans="1:5" x14ac:dyDescent="0.3">
      <c r="A70" t="s">
        <v>41</v>
      </c>
      <c r="B70">
        <f>B67/B69</f>
        <v>1.9074841832391378</v>
      </c>
      <c r="C70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03C6-049F-4ED9-AF43-5263772103C3}">
  <dimension ref="A1:S57"/>
  <sheetViews>
    <sheetView topLeftCell="A37" zoomScale="95" zoomScaleNormal="85" workbookViewId="0">
      <selection activeCell="I31" sqref="I31"/>
    </sheetView>
  </sheetViews>
  <sheetFormatPr defaultRowHeight="14.4" x14ac:dyDescent="0.3"/>
  <cols>
    <col min="1" max="1" width="22.21875" customWidth="1"/>
  </cols>
  <sheetData>
    <row r="1" spans="1:3" x14ac:dyDescent="0.3">
      <c r="B1" t="s">
        <v>33</v>
      </c>
    </row>
    <row r="2" spans="1:3" x14ac:dyDescent="0.3">
      <c r="A2" t="s">
        <v>0</v>
      </c>
      <c r="B2">
        <v>55.844999999999999</v>
      </c>
      <c r="C2" s="1" t="s">
        <v>10</v>
      </c>
    </row>
    <row r="3" spans="1:3" x14ac:dyDescent="0.3">
      <c r="A3" t="s">
        <v>1</v>
      </c>
      <c r="B3">
        <v>40.078000000000003</v>
      </c>
      <c r="C3" s="1" t="s">
        <v>10</v>
      </c>
    </row>
    <row r="4" spans="1:3" x14ac:dyDescent="0.3">
      <c r="A4" t="s">
        <v>2</v>
      </c>
      <c r="B4">
        <v>15.999000000000001</v>
      </c>
      <c r="C4" s="1" t="s">
        <v>10</v>
      </c>
    </row>
    <row r="5" spans="1:3" x14ac:dyDescent="0.3">
      <c r="A5" t="s">
        <v>3</v>
      </c>
      <c r="B5">
        <v>1.0078400000000001</v>
      </c>
      <c r="C5" s="1" t="s">
        <v>10</v>
      </c>
    </row>
    <row r="6" spans="1:3" x14ac:dyDescent="0.3">
      <c r="A6" t="s">
        <v>4</v>
      </c>
      <c r="B6">
        <v>14.007</v>
      </c>
      <c r="C6" s="1" t="s">
        <v>10</v>
      </c>
    </row>
    <row r="7" spans="1:3" x14ac:dyDescent="0.3">
      <c r="A7" t="s">
        <v>28</v>
      </c>
      <c r="B7">
        <v>12.010999999999999</v>
      </c>
      <c r="C7" s="1" t="s">
        <v>10</v>
      </c>
    </row>
    <row r="9" spans="1:3" x14ac:dyDescent="0.3">
      <c r="A9" t="s">
        <v>5</v>
      </c>
      <c r="B9">
        <f>B6+B4*3</f>
        <v>62.003999999999998</v>
      </c>
      <c r="C9" s="1" t="s">
        <v>10</v>
      </c>
    </row>
    <row r="10" spans="1:3" x14ac:dyDescent="0.3">
      <c r="A10" t="s">
        <v>6</v>
      </c>
      <c r="B10">
        <f>B5*2+B4</f>
        <v>18.014680000000002</v>
      </c>
      <c r="C10" s="1" t="s">
        <v>10</v>
      </c>
    </row>
    <row r="12" spans="1:3" x14ac:dyDescent="0.3">
      <c r="A12" t="s">
        <v>7</v>
      </c>
      <c r="B12">
        <f>B3+2*B9+4*B10</f>
        <v>236.14472000000001</v>
      </c>
      <c r="C12" s="1" t="s">
        <v>10</v>
      </c>
    </row>
    <row r="13" spans="1:3" x14ac:dyDescent="0.3">
      <c r="A13" t="s">
        <v>42</v>
      </c>
      <c r="B13">
        <f>B2+3*B9+9*B10</f>
        <v>403.98912000000001</v>
      </c>
      <c r="C13" s="1" t="s">
        <v>10</v>
      </c>
    </row>
    <row r="14" spans="1:3" x14ac:dyDescent="0.3">
      <c r="A14" t="s">
        <v>8</v>
      </c>
      <c r="B14">
        <f>B3+2*B2+4*B4</f>
        <v>215.76400000000001</v>
      </c>
      <c r="C14" s="1" t="s">
        <v>10</v>
      </c>
    </row>
    <row r="15" spans="1:3" x14ac:dyDescent="0.3">
      <c r="A15" t="s">
        <v>27</v>
      </c>
      <c r="B15">
        <f>2*B7+5*B5+B6+2*B4</f>
        <v>75.066199999999995</v>
      </c>
      <c r="C15" s="1" t="s">
        <v>10</v>
      </c>
    </row>
    <row r="17" spans="1:19" x14ac:dyDescent="0.3">
      <c r="A17" t="s">
        <v>9</v>
      </c>
      <c r="B17">
        <v>0.5</v>
      </c>
      <c r="C17" s="1" t="s">
        <v>11</v>
      </c>
    </row>
    <row r="18" spans="1:19" x14ac:dyDescent="0.3">
      <c r="A18" t="s">
        <v>12</v>
      </c>
      <c r="B18">
        <f>B17/B14</f>
        <v>2.3173467306872322E-3</v>
      </c>
      <c r="C18" s="1" t="s">
        <v>13</v>
      </c>
      <c r="M18" t="s">
        <v>46</v>
      </c>
      <c r="O18" t="s">
        <v>48</v>
      </c>
      <c r="Q18" t="s">
        <v>53</v>
      </c>
      <c r="S18" t="s">
        <v>55</v>
      </c>
    </row>
    <row r="19" spans="1:19" x14ac:dyDescent="0.3">
      <c r="M19" t="s">
        <v>47</v>
      </c>
      <c r="O19" t="s">
        <v>49</v>
      </c>
      <c r="Q19" t="s">
        <v>54</v>
      </c>
      <c r="S19" t="s">
        <v>56</v>
      </c>
    </row>
    <row r="20" spans="1:19" x14ac:dyDescent="0.3">
      <c r="A20" t="s">
        <v>18</v>
      </c>
      <c r="B20">
        <v>1</v>
      </c>
      <c r="E20" t="s">
        <v>16</v>
      </c>
      <c r="M20" t="s">
        <v>58</v>
      </c>
      <c r="O20" t="s">
        <v>58</v>
      </c>
      <c r="Q20" t="s">
        <v>58</v>
      </c>
      <c r="S20" t="s">
        <v>58</v>
      </c>
    </row>
    <row r="21" spans="1:19" x14ac:dyDescent="0.3">
      <c r="A21" t="s">
        <v>19</v>
      </c>
      <c r="B21">
        <v>2</v>
      </c>
      <c r="E21" t="s">
        <v>17</v>
      </c>
      <c r="P21" t="s">
        <v>57</v>
      </c>
    </row>
    <row r="22" spans="1:19" x14ac:dyDescent="0.3">
      <c r="L22" t="s">
        <v>51</v>
      </c>
    </row>
    <row r="23" spans="1:19" x14ac:dyDescent="0.3">
      <c r="A23" t="s">
        <v>14</v>
      </c>
      <c r="B23">
        <f>B20*B18</f>
        <v>2.3173467306872322E-3</v>
      </c>
      <c r="C23" s="1" t="s">
        <v>13</v>
      </c>
      <c r="L23" t="s">
        <v>52</v>
      </c>
      <c r="M23" t="s">
        <v>27</v>
      </c>
    </row>
    <row r="24" spans="1:19" x14ac:dyDescent="0.3">
      <c r="A24" t="s">
        <v>15</v>
      </c>
      <c r="B24">
        <f>B21*B18</f>
        <v>4.6346934613744643E-3</v>
      </c>
      <c r="C24" s="1" t="s">
        <v>13</v>
      </c>
    </row>
    <row r="25" spans="1:19" x14ac:dyDescent="0.3">
      <c r="C25" s="1"/>
    </row>
    <row r="26" spans="1:19" x14ac:dyDescent="0.3">
      <c r="A26" t="s">
        <v>20</v>
      </c>
      <c r="B26">
        <f>B23*B12</f>
        <v>0.54722919486105182</v>
      </c>
    </row>
    <row r="27" spans="1:19" x14ac:dyDescent="0.3">
      <c r="A27" t="s">
        <v>21</v>
      </c>
      <c r="B27">
        <f>B24*B13</f>
        <v>1.872365732930424</v>
      </c>
    </row>
    <row r="29" spans="1:19" x14ac:dyDescent="0.3">
      <c r="A29" t="s">
        <v>36</v>
      </c>
      <c r="B29">
        <v>0.999</v>
      </c>
    </row>
    <row r="30" spans="1:19" x14ac:dyDescent="0.3">
      <c r="A30" t="s">
        <v>37</v>
      </c>
      <c r="B30">
        <v>0.999</v>
      </c>
    </row>
    <row r="31" spans="1:19" x14ac:dyDescent="0.3">
      <c r="A31" t="s">
        <v>38</v>
      </c>
      <c r="B31">
        <f>B23*B12/B29</f>
        <v>0.54777697183288465</v>
      </c>
      <c r="C31" s="1" t="s">
        <v>11</v>
      </c>
    </row>
    <row r="32" spans="1:19" x14ac:dyDescent="0.3">
      <c r="A32" t="s">
        <v>39</v>
      </c>
      <c r="B32">
        <f>B24*B13/B30</f>
        <v>1.8742399729033272</v>
      </c>
      <c r="C32" s="1" t="s">
        <v>11</v>
      </c>
    </row>
    <row r="35" spans="1:4" x14ac:dyDescent="0.3">
      <c r="A35" t="s">
        <v>26</v>
      </c>
    </row>
    <row r="36" spans="1:4" x14ac:dyDescent="0.3">
      <c r="A36" t="s">
        <v>0</v>
      </c>
      <c r="B36">
        <v>3</v>
      </c>
    </row>
    <row r="37" spans="1:4" x14ac:dyDescent="0.3">
      <c r="A37" t="s">
        <v>1</v>
      </c>
      <c r="B37">
        <v>2</v>
      </c>
    </row>
    <row r="38" spans="1:4" x14ac:dyDescent="0.3">
      <c r="A38" t="s">
        <v>2</v>
      </c>
      <c r="B38">
        <v>-2</v>
      </c>
    </row>
    <row r="39" spans="1:4" x14ac:dyDescent="0.3">
      <c r="A39" t="s">
        <v>3</v>
      </c>
      <c r="B39">
        <v>1</v>
      </c>
      <c r="D39" s="2"/>
    </row>
    <row r="40" spans="1:4" x14ac:dyDescent="0.3">
      <c r="A40" t="s">
        <v>4</v>
      </c>
      <c r="B40">
        <v>0</v>
      </c>
    </row>
    <row r="41" spans="1:4" x14ac:dyDescent="0.3">
      <c r="A41" t="s">
        <v>28</v>
      </c>
      <c r="B41">
        <v>4</v>
      </c>
    </row>
    <row r="43" spans="1:4" x14ac:dyDescent="0.3">
      <c r="A43" t="s">
        <v>7</v>
      </c>
      <c r="B43">
        <f>B37+6*B38</f>
        <v>-10</v>
      </c>
    </row>
    <row r="44" spans="1:4" x14ac:dyDescent="0.3">
      <c r="A44" t="s">
        <v>42</v>
      </c>
      <c r="B44">
        <f>B36+9*B38</f>
        <v>-15</v>
      </c>
    </row>
    <row r="45" spans="1:4" x14ac:dyDescent="0.3">
      <c r="A45" t="s">
        <v>27</v>
      </c>
      <c r="B45">
        <f>2*B41+5*B39+2*B38</f>
        <v>9</v>
      </c>
    </row>
    <row r="47" spans="1:4" x14ac:dyDescent="0.3">
      <c r="A47" t="s">
        <v>44</v>
      </c>
      <c r="B47">
        <f>B43*B20+B44*B21</f>
        <v>-40</v>
      </c>
    </row>
    <row r="48" spans="1:4" x14ac:dyDescent="0.3">
      <c r="A48" t="s">
        <v>45</v>
      </c>
      <c r="B48">
        <f>B45</f>
        <v>9</v>
      </c>
    </row>
    <row r="50" spans="1:3" x14ac:dyDescent="0.3">
      <c r="A50" t="s">
        <v>30</v>
      </c>
      <c r="B50">
        <v>0.8</v>
      </c>
    </row>
    <row r="51" spans="1:3" x14ac:dyDescent="0.3">
      <c r="A51" t="s">
        <v>29</v>
      </c>
      <c r="B51">
        <f>-B47*B50/B48</f>
        <v>3.5555555555555554</v>
      </c>
      <c r="C51" t="s">
        <v>31</v>
      </c>
    </row>
    <row r="53" spans="1:3" x14ac:dyDescent="0.3">
      <c r="A53" t="s">
        <v>34</v>
      </c>
      <c r="B53">
        <f>B51*B18</f>
        <v>8.2394550424434911E-3</v>
      </c>
      <c r="C53" t="s">
        <v>13</v>
      </c>
    </row>
    <row r="54" spans="1:3" x14ac:dyDescent="0.3">
      <c r="A54" t="s">
        <v>32</v>
      </c>
      <c r="B54">
        <f>B15*B53</f>
        <v>0.61850458010707154</v>
      </c>
      <c r="C54" t="s">
        <v>11</v>
      </c>
    </row>
    <row r="56" spans="1:3" x14ac:dyDescent="0.3">
      <c r="A56" t="s">
        <v>40</v>
      </c>
      <c r="B56">
        <v>0.98499999999999999</v>
      </c>
    </row>
    <row r="57" spans="1:3" x14ac:dyDescent="0.3">
      <c r="A57" t="s">
        <v>41</v>
      </c>
      <c r="B57">
        <f>B54/B56</f>
        <v>0.62792343158078334</v>
      </c>
      <c r="C57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3A4A-F50D-4D1B-AF37-10E0948E42F5}">
  <dimension ref="A1:S57"/>
  <sheetViews>
    <sheetView zoomScale="97" zoomScaleNormal="85" workbookViewId="0">
      <selection activeCell="D46" sqref="D46"/>
    </sheetView>
  </sheetViews>
  <sheetFormatPr defaultRowHeight="14.4" x14ac:dyDescent="0.3"/>
  <cols>
    <col min="1" max="1" width="22.21875" customWidth="1"/>
  </cols>
  <sheetData>
    <row r="1" spans="1:3" x14ac:dyDescent="0.3">
      <c r="B1" t="s">
        <v>33</v>
      </c>
    </row>
    <row r="2" spans="1:3" x14ac:dyDescent="0.3">
      <c r="A2" t="s">
        <v>0</v>
      </c>
      <c r="B2">
        <v>55.844999999999999</v>
      </c>
      <c r="C2" s="1" t="s">
        <v>10</v>
      </c>
    </row>
    <row r="3" spans="1:3" x14ac:dyDescent="0.3">
      <c r="A3" t="s">
        <v>1</v>
      </c>
      <c r="B3">
        <v>40.078000000000003</v>
      </c>
      <c r="C3" s="1" t="s">
        <v>10</v>
      </c>
    </row>
    <row r="4" spans="1:3" x14ac:dyDescent="0.3">
      <c r="A4" t="s">
        <v>2</v>
      </c>
      <c r="B4">
        <v>15.999000000000001</v>
      </c>
      <c r="C4" s="1" t="s">
        <v>10</v>
      </c>
    </row>
    <row r="5" spans="1:3" x14ac:dyDescent="0.3">
      <c r="A5" t="s">
        <v>3</v>
      </c>
      <c r="B5">
        <v>1.0078400000000001</v>
      </c>
      <c r="C5" s="1" t="s">
        <v>10</v>
      </c>
    </row>
    <row r="6" spans="1:3" x14ac:dyDescent="0.3">
      <c r="A6" t="s">
        <v>4</v>
      </c>
      <c r="B6">
        <v>14.007</v>
      </c>
      <c r="C6" s="1" t="s">
        <v>10</v>
      </c>
    </row>
    <row r="7" spans="1:3" x14ac:dyDescent="0.3">
      <c r="A7" t="s">
        <v>28</v>
      </c>
      <c r="B7">
        <v>12.010999999999999</v>
      </c>
      <c r="C7" s="1" t="s">
        <v>10</v>
      </c>
    </row>
    <row r="9" spans="1:3" x14ac:dyDescent="0.3">
      <c r="A9" t="s">
        <v>5</v>
      </c>
      <c r="B9">
        <f>B6+B4*3</f>
        <v>62.003999999999998</v>
      </c>
      <c r="C9" s="1" t="s">
        <v>10</v>
      </c>
    </row>
    <row r="10" spans="1:3" x14ac:dyDescent="0.3">
      <c r="A10" t="s">
        <v>6</v>
      </c>
      <c r="B10">
        <f>B5*2+B4</f>
        <v>18.014680000000002</v>
      </c>
      <c r="C10" s="1" t="s">
        <v>10</v>
      </c>
    </row>
    <row r="12" spans="1:3" x14ac:dyDescent="0.3">
      <c r="A12" t="s">
        <v>7</v>
      </c>
      <c r="B12">
        <f>B3+2*B9+4*B10</f>
        <v>236.14472000000001</v>
      </c>
      <c r="C12" s="1" t="s">
        <v>10</v>
      </c>
    </row>
    <row r="13" spans="1:3" x14ac:dyDescent="0.3">
      <c r="A13" t="s">
        <v>42</v>
      </c>
      <c r="B13">
        <f>B2+3*B9+9*B10</f>
        <v>403.98912000000001</v>
      </c>
      <c r="C13" s="1" t="s">
        <v>10</v>
      </c>
    </row>
    <row r="14" spans="1:3" x14ac:dyDescent="0.3">
      <c r="A14" t="s">
        <v>8</v>
      </c>
      <c r="B14">
        <f>B3+2*B2+4*B4</f>
        <v>215.76400000000001</v>
      </c>
      <c r="C14" s="1" t="s">
        <v>10</v>
      </c>
    </row>
    <row r="15" spans="1:3" x14ac:dyDescent="0.3">
      <c r="A15" t="s">
        <v>27</v>
      </c>
      <c r="B15">
        <f>2*B7+5*B5+B6+2*B4</f>
        <v>75.066199999999995</v>
      </c>
      <c r="C15" s="1" t="s">
        <v>10</v>
      </c>
    </row>
    <row r="17" spans="1:19" x14ac:dyDescent="0.3">
      <c r="A17" t="s">
        <v>9</v>
      </c>
      <c r="B17">
        <v>1</v>
      </c>
      <c r="C17" s="1" t="s">
        <v>11</v>
      </c>
    </row>
    <row r="18" spans="1:19" x14ac:dyDescent="0.3">
      <c r="A18" t="s">
        <v>12</v>
      </c>
      <c r="B18">
        <f>B17/B14</f>
        <v>4.6346934613744643E-3</v>
      </c>
      <c r="C18" s="1" t="s">
        <v>13</v>
      </c>
      <c r="M18" t="s">
        <v>46</v>
      </c>
      <c r="O18" t="s">
        <v>48</v>
      </c>
      <c r="Q18" t="s">
        <v>53</v>
      </c>
      <c r="S18" t="s">
        <v>55</v>
      </c>
    </row>
    <row r="19" spans="1:19" x14ac:dyDescent="0.3">
      <c r="M19" t="s">
        <v>47</v>
      </c>
      <c r="O19" t="s">
        <v>49</v>
      </c>
      <c r="Q19" t="s">
        <v>54</v>
      </c>
      <c r="S19" t="s">
        <v>56</v>
      </c>
    </row>
    <row r="20" spans="1:19" x14ac:dyDescent="0.3">
      <c r="A20" t="s">
        <v>18</v>
      </c>
      <c r="B20">
        <v>1</v>
      </c>
      <c r="E20" t="s">
        <v>16</v>
      </c>
      <c r="M20" t="s">
        <v>58</v>
      </c>
      <c r="O20" t="s">
        <v>58</v>
      </c>
      <c r="Q20" t="s">
        <v>58</v>
      </c>
      <c r="S20" t="s">
        <v>58</v>
      </c>
    </row>
    <row r="21" spans="1:19" x14ac:dyDescent="0.3">
      <c r="A21" t="s">
        <v>19</v>
      </c>
      <c r="B21">
        <v>2</v>
      </c>
      <c r="E21" t="s">
        <v>17</v>
      </c>
      <c r="P21" t="s">
        <v>57</v>
      </c>
    </row>
    <row r="22" spans="1:19" x14ac:dyDescent="0.3">
      <c r="L22" t="s">
        <v>51</v>
      </c>
      <c r="M22" s="2" t="s">
        <v>50</v>
      </c>
    </row>
    <row r="23" spans="1:19" x14ac:dyDescent="0.3">
      <c r="A23" t="s">
        <v>14</v>
      </c>
      <c r="B23">
        <f>B20*B18</f>
        <v>4.6346934613744643E-3</v>
      </c>
      <c r="C23" s="1" t="s">
        <v>13</v>
      </c>
      <c r="L23" t="s">
        <v>52</v>
      </c>
      <c r="M23" t="s">
        <v>27</v>
      </c>
    </row>
    <row r="24" spans="1:19" x14ac:dyDescent="0.3">
      <c r="A24" t="s">
        <v>15</v>
      </c>
      <c r="B24">
        <f>B21*B18</f>
        <v>9.2693869227489286E-3</v>
      </c>
      <c r="C24" s="1" t="s">
        <v>13</v>
      </c>
    </row>
    <row r="25" spans="1:19" x14ac:dyDescent="0.3">
      <c r="C25" s="1"/>
    </row>
    <row r="26" spans="1:19" x14ac:dyDescent="0.3">
      <c r="A26" t="s">
        <v>20</v>
      </c>
      <c r="B26">
        <f>B23*B12</f>
        <v>1.0944583897221036</v>
      </c>
    </row>
    <row r="27" spans="1:19" x14ac:dyDescent="0.3">
      <c r="A27" t="s">
        <v>21</v>
      </c>
      <c r="B27">
        <f>B24*B13</f>
        <v>3.7447314658608479</v>
      </c>
    </row>
    <row r="29" spans="1:19" x14ac:dyDescent="0.3">
      <c r="A29" t="s">
        <v>36</v>
      </c>
      <c r="B29">
        <v>0.999</v>
      </c>
    </row>
    <row r="30" spans="1:19" x14ac:dyDescent="0.3">
      <c r="A30" t="s">
        <v>37</v>
      </c>
      <c r="B30">
        <v>0.999</v>
      </c>
    </row>
    <row r="31" spans="1:19" x14ac:dyDescent="0.3">
      <c r="A31" t="s">
        <v>38</v>
      </c>
      <c r="B31">
        <f>B23*B12/B29</f>
        <v>1.0955539436657693</v>
      </c>
      <c r="C31" s="1" t="s">
        <v>11</v>
      </c>
    </row>
    <row r="32" spans="1:19" x14ac:dyDescent="0.3">
      <c r="A32" t="s">
        <v>39</v>
      </c>
      <c r="B32">
        <f>B24*B13/B30</f>
        <v>3.7484799458066544</v>
      </c>
      <c r="C32" s="1" t="s">
        <v>11</v>
      </c>
    </row>
    <row r="35" spans="1:2" x14ac:dyDescent="0.3">
      <c r="A35" t="s">
        <v>26</v>
      </c>
    </row>
    <row r="36" spans="1:2" x14ac:dyDescent="0.3">
      <c r="A36" t="s">
        <v>0</v>
      </c>
      <c r="B36">
        <v>3</v>
      </c>
    </row>
    <row r="37" spans="1:2" x14ac:dyDescent="0.3">
      <c r="A37" t="s">
        <v>1</v>
      </c>
      <c r="B37">
        <v>2</v>
      </c>
    </row>
    <row r="38" spans="1:2" x14ac:dyDescent="0.3">
      <c r="A38" t="s">
        <v>2</v>
      </c>
      <c r="B38">
        <v>-2</v>
      </c>
    </row>
    <row r="39" spans="1:2" x14ac:dyDescent="0.3">
      <c r="A39" t="s">
        <v>3</v>
      </c>
      <c r="B39">
        <v>1</v>
      </c>
    </row>
    <row r="40" spans="1:2" x14ac:dyDescent="0.3">
      <c r="A40" t="s">
        <v>4</v>
      </c>
      <c r="B40">
        <v>0</v>
      </c>
    </row>
    <row r="41" spans="1:2" x14ac:dyDescent="0.3">
      <c r="A41" t="s">
        <v>28</v>
      </c>
      <c r="B41">
        <v>4</v>
      </c>
    </row>
    <row r="43" spans="1:2" x14ac:dyDescent="0.3">
      <c r="A43" t="s">
        <v>7</v>
      </c>
      <c r="B43">
        <f>B37+6*B38</f>
        <v>-10</v>
      </c>
    </row>
    <row r="44" spans="1:2" x14ac:dyDescent="0.3">
      <c r="A44" t="s">
        <v>42</v>
      </c>
      <c r="B44">
        <f>B36+9*B38</f>
        <v>-15</v>
      </c>
    </row>
    <row r="45" spans="1:2" x14ac:dyDescent="0.3">
      <c r="A45" t="s">
        <v>27</v>
      </c>
      <c r="B45">
        <f>2*B41+5*B39+2*B38</f>
        <v>9</v>
      </c>
    </row>
    <row r="47" spans="1:2" x14ac:dyDescent="0.3">
      <c r="A47" t="s">
        <v>44</v>
      </c>
      <c r="B47">
        <f>B43*B20+B44*B21</f>
        <v>-40</v>
      </c>
    </row>
    <row r="48" spans="1:2" x14ac:dyDescent="0.3">
      <c r="A48" t="s">
        <v>45</v>
      </c>
      <c r="B48">
        <f>B45</f>
        <v>9</v>
      </c>
    </row>
    <row r="50" spans="1:4" x14ac:dyDescent="0.3">
      <c r="A50" t="s">
        <v>30</v>
      </c>
      <c r="B50">
        <v>1.2</v>
      </c>
    </row>
    <row r="51" spans="1:4" x14ac:dyDescent="0.3">
      <c r="A51" t="s">
        <v>29</v>
      </c>
      <c r="B51">
        <f>-B47*B50/B48</f>
        <v>5.333333333333333</v>
      </c>
      <c r="C51" t="s">
        <v>31</v>
      </c>
      <c r="D51">
        <f>40/9</f>
        <v>4.4444444444444446</v>
      </c>
    </row>
    <row r="53" spans="1:4" x14ac:dyDescent="0.3">
      <c r="A53" t="s">
        <v>34</v>
      </c>
      <c r="B53">
        <f>B51*B18</f>
        <v>2.4718365127330475E-2</v>
      </c>
      <c r="C53" t="s">
        <v>13</v>
      </c>
    </row>
    <row r="54" spans="1:4" x14ac:dyDescent="0.3">
      <c r="A54" t="s">
        <v>32</v>
      </c>
      <c r="B54">
        <f>B15*B53</f>
        <v>1.8555137403212147</v>
      </c>
      <c r="C54" t="s">
        <v>11</v>
      </c>
    </row>
    <row r="56" spans="1:4" x14ac:dyDescent="0.3">
      <c r="A56" t="s">
        <v>40</v>
      </c>
      <c r="B56">
        <v>0.98499999999999999</v>
      </c>
    </row>
    <row r="57" spans="1:4" x14ac:dyDescent="0.3">
      <c r="A57" t="s">
        <v>41</v>
      </c>
      <c r="B57">
        <f>B54/B56</f>
        <v>1.88377029474235</v>
      </c>
      <c r="C57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D3B6-E7D6-45A7-97CB-352C47C7B862}">
  <dimension ref="A1:E56"/>
  <sheetViews>
    <sheetView topLeftCell="A10" zoomScale="110" workbookViewId="0">
      <selection activeCell="B17" sqref="B17"/>
    </sheetView>
  </sheetViews>
  <sheetFormatPr defaultRowHeight="14.4" x14ac:dyDescent="0.3"/>
  <cols>
    <col min="1" max="1" width="22.21875" customWidth="1"/>
  </cols>
  <sheetData>
    <row r="1" spans="1:3" x14ac:dyDescent="0.3">
      <c r="B1" t="s">
        <v>33</v>
      </c>
    </row>
    <row r="2" spans="1:3" x14ac:dyDescent="0.3">
      <c r="A2" t="s">
        <v>0</v>
      </c>
      <c r="B2">
        <v>55.844999999999999</v>
      </c>
      <c r="C2" s="1" t="s">
        <v>10</v>
      </c>
    </row>
    <row r="3" spans="1:3" x14ac:dyDescent="0.3">
      <c r="A3" t="s">
        <v>22</v>
      </c>
      <c r="B3">
        <v>63.545999999999999</v>
      </c>
      <c r="C3" s="1" t="s">
        <v>10</v>
      </c>
    </row>
    <row r="4" spans="1:3" x14ac:dyDescent="0.3">
      <c r="A4" t="s">
        <v>2</v>
      </c>
      <c r="B4">
        <v>15.999000000000001</v>
      </c>
      <c r="C4" s="1" t="s">
        <v>10</v>
      </c>
    </row>
    <row r="5" spans="1:3" x14ac:dyDescent="0.3">
      <c r="A5" t="s">
        <v>3</v>
      </c>
      <c r="B5">
        <v>1.0078400000000001</v>
      </c>
      <c r="C5" s="1" t="s">
        <v>10</v>
      </c>
    </row>
    <row r="6" spans="1:3" x14ac:dyDescent="0.3">
      <c r="A6" t="s">
        <v>4</v>
      </c>
      <c r="B6">
        <v>14.007</v>
      </c>
      <c r="C6" s="1" t="s">
        <v>10</v>
      </c>
    </row>
    <row r="7" spans="1:3" x14ac:dyDescent="0.3">
      <c r="A7" t="s">
        <v>28</v>
      </c>
      <c r="B7">
        <v>12.010999999999999</v>
      </c>
      <c r="C7" s="1" t="s">
        <v>10</v>
      </c>
    </row>
    <row r="9" spans="1:3" x14ac:dyDescent="0.3">
      <c r="A9" t="s">
        <v>5</v>
      </c>
      <c r="B9">
        <f>B6+B4*3</f>
        <v>62.003999999999998</v>
      </c>
      <c r="C9" s="1" t="s">
        <v>10</v>
      </c>
    </row>
    <row r="10" spans="1:3" x14ac:dyDescent="0.3">
      <c r="A10" t="s">
        <v>6</v>
      </c>
      <c r="B10">
        <f>B5*2+B4</f>
        <v>18.014680000000002</v>
      </c>
      <c r="C10" s="1" t="s">
        <v>10</v>
      </c>
    </row>
    <row r="12" spans="1:3" x14ac:dyDescent="0.3">
      <c r="A12" t="s">
        <v>43</v>
      </c>
      <c r="B12">
        <f>B3+2*B9+3*B10</f>
        <v>241.59804000000003</v>
      </c>
      <c r="C12" s="1" t="s">
        <v>10</v>
      </c>
    </row>
    <row r="13" spans="1:3" x14ac:dyDescent="0.3">
      <c r="A13" t="s">
        <v>42</v>
      </c>
      <c r="B13">
        <f>B2+3*B9+9*B10</f>
        <v>403.98912000000001</v>
      </c>
      <c r="C13" s="1" t="s">
        <v>10</v>
      </c>
    </row>
    <row r="14" spans="1:3" x14ac:dyDescent="0.3">
      <c r="A14" t="s">
        <v>24</v>
      </c>
      <c r="B14">
        <f>B3+2*B2+4*B4</f>
        <v>239.232</v>
      </c>
      <c r="C14" s="1" t="s">
        <v>10</v>
      </c>
    </row>
    <row r="15" spans="1:3" x14ac:dyDescent="0.3">
      <c r="A15" t="s">
        <v>27</v>
      </c>
      <c r="B15">
        <f>2*B7+5*B5+B6+2*B4</f>
        <v>75.066199999999995</v>
      </c>
      <c r="C15" s="1" t="s">
        <v>10</v>
      </c>
    </row>
    <row r="17" spans="1:5" x14ac:dyDescent="0.3">
      <c r="A17" t="s">
        <v>9</v>
      </c>
      <c r="B17">
        <v>2</v>
      </c>
      <c r="C17" s="1" t="s">
        <v>11</v>
      </c>
    </row>
    <row r="18" spans="1:5" x14ac:dyDescent="0.3">
      <c r="A18" t="s">
        <v>12</v>
      </c>
      <c r="B18">
        <f>B17/B14</f>
        <v>8.3600856072766194E-3</v>
      </c>
      <c r="C18" s="1" t="s">
        <v>13</v>
      </c>
    </row>
    <row r="20" spans="1:5" x14ac:dyDescent="0.3">
      <c r="A20" t="s">
        <v>18</v>
      </c>
      <c r="B20">
        <v>1</v>
      </c>
      <c r="E20" t="s">
        <v>25</v>
      </c>
    </row>
    <row r="21" spans="1:5" x14ac:dyDescent="0.3">
      <c r="A21" t="s">
        <v>19</v>
      </c>
      <c r="B21">
        <v>2</v>
      </c>
      <c r="E21" t="s">
        <v>17</v>
      </c>
    </row>
    <row r="23" spans="1:5" x14ac:dyDescent="0.3">
      <c r="A23" t="s">
        <v>14</v>
      </c>
      <c r="B23">
        <f>B20*B18</f>
        <v>8.3600856072766194E-3</v>
      </c>
      <c r="C23" s="1" t="s">
        <v>13</v>
      </c>
    </row>
    <row r="24" spans="1:5" x14ac:dyDescent="0.3">
      <c r="A24" t="s">
        <v>15</v>
      </c>
      <c r="B24">
        <f>B21*B18</f>
        <v>1.6720171214553239E-2</v>
      </c>
      <c r="C24" s="1" t="s">
        <v>13</v>
      </c>
    </row>
    <row r="26" spans="1:5" x14ac:dyDescent="0.3">
      <c r="A26" t="s">
        <v>20</v>
      </c>
      <c r="B26">
        <f>B23*B12</f>
        <v>2.0197802969502412</v>
      </c>
      <c r="C26" s="1" t="s">
        <v>11</v>
      </c>
    </row>
    <row r="27" spans="1:5" x14ac:dyDescent="0.3">
      <c r="A27" t="s">
        <v>21</v>
      </c>
      <c r="B27">
        <f>B24*B13</f>
        <v>6.7547672552166942</v>
      </c>
      <c r="C27" s="1" t="s">
        <v>11</v>
      </c>
    </row>
    <row r="29" spans="1:5" x14ac:dyDescent="0.3">
      <c r="A29" t="s">
        <v>36</v>
      </c>
      <c r="B29">
        <v>0.999</v>
      </c>
    </row>
    <row r="30" spans="1:5" x14ac:dyDescent="0.3">
      <c r="A30" t="s">
        <v>37</v>
      </c>
      <c r="B30">
        <v>0.999</v>
      </c>
    </row>
    <row r="31" spans="1:5" x14ac:dyDescent="0.3">
      <c r="A31" t="s">
        <v>38</v>
      </c>
      <c r="B31">
        <f>B26/B29</f>
        <v>2.0218020990492906</v>
      </c>
      <c r="C31" t="s">
        <v>11</v>
      </c>
    </row>
    <row r="32" spans="1:5" x14ac:dyDescent="0.3">
      <c r="A32" t="s">
        <v>39</v>
      </c>
      <c r="B32">
        <f>B27/B30</f>
        <v>6.7615287840006948</v>
      </c>
      <c r="C32" t="s">
        <v>11</v>
      </c>
    </row>
    <row r="34" spans="1:2" x14ac:dyDescent="0.3">
      <c r="A34" t="s">
        <v>26</v>
      </c>
    </row>
    <row r="35" spans="1:2" x14ac:dyDescent="0.3">
      <c r="A35" t="s">
        <v>0</v>
      </c>
      <c r="B35">
        <v>3</v>
      </c>
    </row>
    <row r="36" spans="1:2" x14ac:dyDescent="0.3">
      <c r="A36" t="s">
        <v>22</v>
      </c>
      <c r="B36">
        <v>2</v>
      </c>
    </row>
    <row r="37" spans="1:2" x14ac:dyDescent="0.3">
      <c r="A37" t="s">
        <v>2</v>
      </c>
      <c r="B37">
        <v>-2</v>
      </c>
    </row>
    <row r="38" spans="1:2" x14ac:dyDescent="0.3">
      <c r="A38" t="s">
        <v>3</v>
      </c>
      <c r="B38">
        <v>1</v>
      </c>
    </row>
    <row r="39" spans="1:2" x14ac:dyDescent="0.3">
      <c r="A39" t="s">
        <v>4</v>
      </c>
      <c r="B39">
        <v>0</v>
      </c>
    </row>
    <row r="40" spans="1:2" x14ac:dyDescent="0.3">
      <c r="A40" t="s">
        <v>28</v>
      </c>
      <c r="B40">
        <v>4</v>
      </c>
    </row>
    <row r="42" spans="1:2" x14ac:dyDescent="0.3">
      <c r="A42" t="s">
        <v>23</v>
      </c>
      <c r="B42">
        <f>B36+6*B37</f>
        <v>-10</v>
      </c>
    </row>
    <row r="43" spans="1:2" x14ac:dyDescent="0.3">
      <c r="A43" t="s">
        <v>42</v>
      </c>
      <c r="B43">
        <f>B35+9*B37</f>
        <v>-15</v>
      </c>
    </row>
    <row r="44" spans="1:2" x14ac:dyDescent="0.3">
      <c r="A44" t="s">
        <v>27</v>
      </c>
      <c r="B44">
        <f>2*B40+5*B38+2*B37</f>
        <v>9</v>
      </c>
    </row>
    <row r="46" spans="1:2" x14ac:dyDescent="0.3">
      <c r="A46" t="s">
        <v>44</v>
      </c>
      <c r="B46">
        <f>B42*B20+B43*B21</f>
        <v>-40</v>
      </c>
    </row>
    <row r="47" spans="1:2" x14ac:dyDescent="0.3">
      <c r="A47" t="s">
        <v>45</v>
      </c>
      <c r="B47">
        <f>B44</f>
        <v>9</v>
      </c>
    </row>
    <row r="49" spans="1:3" x14ac:dyDescent="0.3">
      <c r="A49" t="s">
        <v>30</v>
      </c>
      <c r="B49">
        <v>1</v>
      </c>
    </row>
    <row r="50" spans="1:3" x14ac:dyDescent="0.3">
      <c r="A50" t="s">
        <v>29</v>
      </c>
      <c r="B50">
        <f>-B46*B49/B47</f>
        <v>4.4444444444444446</v>
      </c>
      <c r="C50" t="s">
        <v>31</v>
      </c>
    </row>
    <row r="52" spans="1:3" x14ac:dyDescent="0.3">
      <c r="A52" t="s">
        <v>35</v>
      </c>
      <c r="B52">
        <f>B50*B18</f>
        <v>3.7155936032340534E-2</v>
      </c>
      <c r="C52" t="s">
        <v>13</v>
      </c>
    </row>
    <row r="53" spans="1:3" x14ac:dyDescent="0.3">
      <c r="A53" t="s">
        <v>32</v>
      </c>
      <c r="B53">
        <f>B15*B52</f>
        <v>2.7891549253908807</v>
      </c>
      <c r="C53" t="s">
        <v>11</v>
      </c>
    </row>
    <row r="55" spans="1:3" x14ac:dyDescent="0.3">
      <c r="A55" t="s">
        <v>40</v>
      </c>
      <c r="B55">
        <v>0.98499999999999999</v>
      </c>
    </row>
    <row r="56" spans="1:3" x14ac:dyDescent="0.3">
      <c r="A56" t="s">
        <v>41</v>
      </c>
      <c r="B56">
        <f>B53/B55</f>
        <v>2.8316293658790666</v>
      </c>
      <c r="C56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ACFF-DB51-40C1-B9F5-38B64B7CE204}">
  <dimension ref="A1:L50"/>
  <sheetViews>
    <sheetView zoomScale="85" zoomScaleNormal="85" workbookViewId="0">
      <selection activeCell="F41" sqref="F41"/>
    </sheetView>
  </sheetViews>
  <sheetFormatPr defaultRowHeight="14.4" x14ac:dyDescent="0.3"/>
  <cols>
    <col min="1" max="1" width="20" customWidth="1"/>
    <col min="2" max="2" width="33.44140625" customWidth="1"/>
    <col min="3" max="3" width="17.6640625" customWidth="1"/>
    <col min="4" max="4" width="7.77734375" customWidth="1"/>
    <col min="5" max="5" width="15.21875" customWidth="1"/>
    <col min="6" max="6" width="38.5546875" customWidth="1"/>
    <col min="8" max="8" width="10.33203125" bestFit="1" customWidth="1"/>
  </cols>
  <sheetData>
    <row r="1" spans="1:11" x14ac:dyDescent="0.3">
      <c r="B1" t="s">
        <v>59</v>
      </c>
      <c r="C1" t="s">
        <v>60</v>
      </c>
    </row>
    <row r="2" spans="1:11" x14ac:dyDescent="0.3">
      <c r="B2" t="s">
        <v>0</v>
      </c>
      <c r="C2" s="3">
        <v>55.844999999999999</v>
      </c>
    </row>
    <row r="3" spans="1:11" x14ac:dyDescent="0.3">
      <c r="B3" t="s">
        <v>1</v>
      </c>
      <c r="C3" s="3">
        <v>40.078000000000003</v>
      </c>
    </row>
    <row r="4" spans="1:11" x14ac:dyDescent="0.3">
      <c r="B4" t="s">
        <v>2</v>
      </c>
      <c r="C4" s="3">
        <v>15.999000000000001</v>
      </c>
    </row>
    <row r="5" spans="1:11" x14ac:dyDescent="0.3">
      <c r="B5" t="s">
        <v>3</v>
      </c>
      <c r="C5" s="3">
        <v>1.0078400000000001</v>
      </c>
    </row>
    <row r="6" spans="1:11" x14ac:dyDescent="0.3">
      <c r="B6" t="s">
        <v>4</v>
      </c>
      <c r="C6" s="3">
        <v>14.007</v>
      </c>
    </row>
    <row r="7" spans="1:11" x14ac:dyDescent="0.3">
      <c r="B7" t="s">
        <v>28</v>
      </c>
      <c r="C7" s="3">
        <v>12.010999999999999</v>
      </c>
    </row>
    <row r="9" spans="1:11" x14ac:dyDescent="0.3">
      <c r="B9" t="s">
        <v>5</v>
      </c>
      <c r="C9">
        <f>C6+C4*3</f>
        <v>62.003999999999998</v>
      </c>
      <c r="D9" s="1"/>
    </row>
    <row r="10" spans="1:11" x14ac:dyDescent="0.3">
      <c r="B10" t="s">
        <v>6</v>
      </c>
      <c r="C10">
        <f>C5*2+C4</f>
        <v>18.014680000000002</v>
      </c>
      <c r="D10" s="1"/>
    </row>
    <row r="11" spans="1:11" x14ac:dyDescent="0.3">
      <c r="B11" s="1" t="s">
        <v>68</v>
      </c>
      <c r="C11" s="1" t="s">
        <v>60</v>
      </c>
    </row>
    <row r="12" spans="1:11" x14ac:dyDescent="0.3">
      <c r="A12" t="s">
        <v>7</v>
      </c>
      <c r="B12" s="4" t="s">
        <v>65</v>
      </c>
      <c r="C12" s="5">
        <f>C3+2*C9+4*C10</f>
        <v>236.14472000000001</v>
      </c>
      <c r="D12" s="1"/>
    </row>
    <row r="13" spans="1:11" x14ac:dyDescent="0.3">
      <c r="A13" t="s">
        <v>42</v>
      </c>
      <c r="B13" s="4" t="s">
        <v>69</v>
      </c>
      <c r="C13" s="5">
        <f>C2+3*C9+9*C10</f>
        <v>403.98912000000001</v>
      </c>
      <c r="D13" s="1"/>
      <c r="F13" s="1"/>
    </row>
    <row r="14" spans="1:11" x14ac:dyDescent="0.3">
      <c r="A14" t="s">
        <v>27</v>
      </c>
      <c r="B14" s="4" t="s">
        <v>66</v>
      </c>
      <c r="C14" s="5">
        <f>2*C7+5*C5+C6+2*C4</f>
        <v>75.066199999999995</v>
      </c>
      <c r="D14" s="1"/>
      <c r="F14" s="1"/>
    </row>
    <row r="15" spans="1:11" x14ac:dyDescent="0.3">
      <c r="A15" t="s">
        <v>78</v>
      </c>
      <c r="B15" s="1" t="s">
        <v>79</v>
      </c>
      <c r="C15" s="5">
        <f>2*C2+3*C4</f>
        <v>159.68700000000001</v>
      </c>
      <c r="D15" s="1"/>
      <c r="F15" s="1"/>
    </row>
    <row r="16" spans="1:11" x14ac:dyDescent="0.3">
      <c r="A16" t="s">
        <v>63</v>
      </c>
      <c r="B16" s="1" t="s">
        <v>62</v>
      </c>
      <c r="C16" s="5">
        <f>3*C2+4*C4</f>
        <v>231.53100000000001</v>
      </c>
      <c r="D16" s="1"/>
      <c r="F16" s="1" t="s">
        <v>62</v>
      </c>
      <c r="G16" s="9">
        <f>4/6</f>
        <v>0.66666666666666663</v>
      </c>
      <c r="I16" s="8">
        <f>$B$30*G16</f>
        <v>3.0897956409163094E-3</v>
      </c>
      <c r="J16">
        <f>I16*C16</f>
        <v>0.71538347453699402</v>
      </c>
      <c r="K16">
        <f>J16/0.98</f>
        <v>0.72998313728264697</v>
      </c>
    </row>
    <row r="17" spans="1:12" x14ac:dyDescent="0.3">
      <c r="A17" t="s">
        <v>64</v>
      </c>
      <c r="B17" s="1" t="s">
        <v>61</v>
      </c>
      <c r="C17" s="5">
        <f>C3+C4</f>
        <v>56.077000000000005</v>
      </c>
      <c r="D17" s="1"/>
      <c r="F17" s="1" t="s">
        <v>61</v>
      </c>
      <c r="G17">
        <v>1</v>
      </c>
      <c r="I17" s="8">
        <f>$B$30*G17</f>
        <v>4.6346934613744643E-3</v>
      </c>
      <c r="J17">
        <f>I17*C17</f>
        <v>0.25989970523349587</v>
      </c>
      <c r="K17">
        <f>J17/0.999</f>
        <v>0.26015986509859446</v>
      </c>
    </row>
    <row r="18" spans="1:12" x14ac:dyDescent="0.3">
      <c r="A18" t="s">
        <v>8</v>
      </c>
      <c r="B18" s="1" t="s">
        <v>67</v>
      </c>
      <c r="C18" s="5">
        <f>C3+2*C2+4*C4</f>
        <v>215.76400000000001</v>
      </c>
      <c r="D18" s="1"/>
    </row>
    <row r="19" spans="1:12" x14ac:dyDescent="0.3">
      <c r="B19" s="1"/>
      <c r="C19" s="1"/>
      <c r="L19" t="s">
        <v>80</v>
      </c>
    </row>
    <row r="20" spans="1:12" x14ac:dyDescent="0.3">
      <c r="B20" s="1" t="s">
        <v>68</v>
      </c>
      <c r="C20" s="1" t="s">
        <v>70</v>
      </c>
      <c r="D20" s="1" t="s">
        <v>71</v>
      </c>
      <c r="F20" s="1" t="s">
        <v>79</v>
      </c>
      <c r="G20" s="9">
        <v>1</v>
      </c>
      <c r="I20" s="8">
        <f>$B$30*G20</f>
        <v>4.6346934613744643E-3</v>
      </c>
      <c r="J20">
        <f>I20*C15</f>
        <v>0.74010029476650419</v>
      </c>
      <c r="K20">
        <f>J20/0.98</f>
        <v>0.75520438241480026</v>
      </c>
      <c r="L20">
        <f>K20*0.98</f>
        <v>0.74010029476650419</v>
      </c>
    </row>
    <row r="21" spans="1:12" x14ac:dyDescent="0.3">
      <c r="A21" t="s">
        <v>63</v>
      </c>
      <c r="B21" s="1" t="s">
        <v>62</v>
      </c>
      <c r="C21" s="6">
        <v>3.0897956409163098E-3</v>
      </c>
      <c r="D21" s="5">
        <v>0.72998313728264697</v>
      </c>
      <c r="F21" s="1" t="s">
        <v>61</v>
      </c>
      <c r="G21">
        <v>1</v>
      </c>
      <c r="I21" s="8">
        <f>$B$30*G21</f>
        <v>4.6346934613744643E-3</v>
      </c>
      <c r="J21">
        <f>I21*C17</f>
        <v>0.25989970523349587</v>
      </c>
      <c r="K21">
        <f>J21/0.999</f>
        <v>0.26015986509859446</v>
      </c>
      <c r="L21">
        <f>K21*0.999</f>
        <v>0.25989970523349587</v>
      </c>
    </row>
    <row r="22" spans="1:12" x14ac:dyDescent="0.3">
      <c r="A22" t="s">
        <v>64</v>
      </c>
      <c r="B22" s="1" t="s">
        <v>61</v>
      </c>
      <c r="C22" s="6">
        <v>4.6346934613744643E-3</v>
      </c>
      <c r="D22" s="5">
        <v>0.26015986509859446</v>
      </c>
    </row>
    <row r="26" spans="1:12" x14ac:dyDescent="0.3">
      <c r="B26" s="1"/>
      <c r="C26" s="5"/>
    </row>
    <row r="30" spans="1:12" x14ac:dyDescent="0.3">
      <c r="A30" t="s">
        <v>12</v>
      </c>
      <c r="B30">
        <v>4.6346934613744643E-3</v>
      </c>
      <c r="C30" t="s">
        <v>13</v>
      </c>
      <c r="F30" s="1" t="s">
        <v>68</v>
      </c>
      <c r="G30" s="1" t="s">
        <v>70</v>
      </c>
      <c r="H30" s="1" t="s">
        <v>71</v>
      </c>
    </row>
    <row r="31" spans="1:12" x14ac:dyDescent="0.3">
      <c r="E31" t="s">
        <v>7</v>
      </c>
      <c r="F31" s="4" t="s">
        <v>65</v>
      </c>
      <c r="G31" s="8">
        <v>4.6346934613744643E-3</v>
      </c>
      <c r="H31">
        <v>1</v>
      </c>
    </row>
    <row r="32" spans="1:12" x14ac:dyDescent="0.3">
      <c r="A32" t="s">
        <v>18</v>
      </c>
      <c r="B32">
        <v>1</v>
      </c>
      <c r="E32" t="s">
        <v>42</v>
      </c>
      <c r="F32" s="4" t="s">
        <v>69</v>
      </c>
      <c r="G32" s="8">
        <v>9.2693869227489286E-3</v>
      </c>
      <c r="H32" s="3">
        <v>1.0955539436657693</v>
      </c>
    </row>
    <row r="33" spans="1:8" x14ac:dyDescent="0.3">
      <c r="A33" t="s">
        <v>19</v>
      </c>
      <c r="B33">
        <v>2</v>
      </c>
      <c r="E33" t="s">
        <v>8</v>
      </c>
      <c r="F33" s="1" t="s">
        <v>67</v>
      </c>
      <c r="G33" s="8">
        <v>4.6346934613744643E-3</v>
      </c>
      <c r="H33" s="3">
        <v>3.7484799458066544</v>
      </c>
    </row>
    <row r="35" spans="1:8" x14ac:dyDescent="0.3">
      <c r="A35" t="s">
        <v>14</v>
      </c>
      <c r="B35">
        <v>4.6346934613744643E-3</v>
      </c>
      <c r="C35" t="s">
        <v>13</v>
      </c>
      <c r="F35" s="1" t="s">
        <v>68</v>
      </c>
      <c r="G35" s="1" t="s">
        <v>70</v>
      </c>
      <c r="H35" s="1" t="s">
        <v>71</v>
      </c>
    </row>
    <row r="36" spans="1:8" x14ac:dyDescent="0.3">
      <c r="A36" t="s">
        <v>15</v>
      </c>
      <c r="B36">
        <v>9.2693869227489286E-3</v>
      </c>
      <c r="C36" t="s">
        <v>13</v>
      </c>
      <c r="E36" t="s">
        <v>7</v>
      </c>
      <c r="F36" s="4" t="s">
        <v>65</v>
      </c>
      <c r="G36" s="8">
        <v>9.2693869227489286E-3</v>
      </c>
      <c r="H36" s="3">
        <v>1.0955539436657693</v>
      </c>
    </row>
    <row r="37" spans="1:8" x14ac:dyDescent="0.3">
      <c r="E37" t="s">
        <v>42</v>
      </c>
      <c r="F37" s="4" t="s">
        <v>69</v>
      </c>
      <c r="G37" s="8">
        <v>4.6346934613744643E-3</v>
      </c>
      <c r="H37" s="3">
        <v>3.7484799458066544</v>
      </c>
    </row>
    <row r="38" spans="1:8" x14ac:dyDescent="0.3">
      <c r="A38" t="s">
        <v>20</v>
      </c>
      <c r="B38">
        <v>1.0944583897221036</v>
      </c>
      <c r="E38" t="s">
        <v>8</v>
      </c>
      <c r="F38" s="1" t="s">
        <v>67</v>
      </c>
      <c r="G38" s="8">
        <v>4.6346934613744643E-3</v>
      </c>
      <c r="H38">
        <v>1</v>
      </c>
    </row>
    <row r="39" spans="1:8" x14ac:dyDescent="0.3">
      <c r="A39" t="s">
        <v>21</v>
      </c>
      <c r="B39">
        <v>3.7447314658608479</v>
      </c>
    </row>
    <row r="41" spans="1:8" x14ac:dyDescent="0.3">
      <c r="A41" t="s">
        <v>36</v>
      </c>
      <c r="B41">
        <v>0.999</v>
      </c>
    </row>
    <row r="42" spans="1:8" x14ac:dyDescent="0.3">
      <c r="A42" t="s">
        <v>37</v>
      </c>
      <c r="B42">
        <v>0.999</v>
      </c>
    </row>
    <row r="43" spans="1:8" x14ac:dyDescent="0.3">
      <c r="A43" t="s">
        <v>38</v>
      </c>
      <c r="B43">
        <v>1.0955539436657693</v>
      </c>
      <c r="C43" t="s">
        <v>11</v>
      </c>
    </row>
    <row r="44" spans="1:8" x14ac:dyDescent="0.3">
      <c r="A44" t="s">
        <v>39</v>
      </c>
      <c r="B44">
        <v>3.7484799458066544</v>
      </c>
      <c r="C44" t="s">
        <v>11</v>
      </c>
    </row>
    <row r="47" spans="1:8" x14ac:dyDescent="0.3">
      <c r="A47" s="1" t="s">
        <v>72</v>
      </c>
      <c r="B47" s="1" t="s">
        <v>70</v>
      </c>
      <c r="C47" s="1" t="s">
        <v>71</v>
      </c>
    </row>
    <row r="48" spans="1:8" x14ac:dyDescent="0.3">
      <c r="A48" s="1">
        <v>0.8</v>
      </c>
      <c r="B48" s="7">
        <v>1.6478910084886982E-2</v>
      </c>
      <c r="C48" s="5">
        <v>1.2558468631615667</v>
      </c>
    </row>
    <row r="49" spans="1:3" x14ac:dyDescent="0.3">
      <c r="A49" s="1">
        <v>1</v>
      </c>
      <c r="B49" s="7">
        <v>2.0598637606108732E-2</v>
      </c>
      <c r="C49" s="5">
        <v>1.5698085789519587</v>
      </c>
    </row>
    <row r="50" spans="1:3" x14ac:dyDescent="0.3">
      <c r="A50" s="1">
        <v>1.2</v>
      </c>
      <c r="B50" s="7">
        <v>2.4718365127330475E-2</v>
      </c>
      <c r="C50" s="5">
        <v>1.88377029474235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AA7A-DBB1-40E0-B23A-4B9F41D4C3ED}">
  <dimension ref="A1:C29"/>
  <sheetViews>
    <sheetView workbookViewId="0">
      <selection activeCell="G22" sqref="G22"/>
    </sheetView>
  </sheetViews>
  <sheetFormatPr defaultRowHeight="14.4" x14ac:dyDescent="0.3"/>
  <cols>
    <col min="1" max="1" width="15.77734375" customWidth="1"/>
    <col min="2" max="2" width="14.33203125" customWidth="1"/>
  </cols>
  <sheetData>
    <row r="1" spans="1:3" x14ac:dyDescent="0.3">
      <c r="B1" t="s">
        <v>33</v>
      </c>
    </row>
    <row r="2" spans="1:3" x14ac:dyDescent="0.3">
      <c r="A2" t="s">
        <v>0</v>
      </c>
      <c r="B2">
        <v>55.844999999999999</v>
      </c>
      <c r="C2" s="1" t="s">
        <v>10</v>
      </c>
    </row>
    <row r="3" spans="1:3" x14ac:dyDescent="0.3">
      <c r="A3" t="s">
        <v>22</v>
      </c>
      <c r="B3">
        <v>63.545999999999999</v>
      </c>
      <c r="C3" s="1" t="s">
        <v>10</v>
      </c>
    </row>
    <row r="4" spans="1:3" x14ac:dyDescent="0.3">
      <c r="A4" t="s">
        <v>2</v>
      </c>
      <c r="B4">
        <v>15.999000000000001</v>
      </c>
      <c r="C4" s="1" t="s">
        <v>10</v>
      </c>
    </row>
    <row r="5" spans="1:3" x14ac:dyDescent="0.3">
      <c r="A5" t="s">
        <v>3</v>
      </c>
      <c r="B5">
        <v>1.0078400000000001</v>
      </c>
      <c r="C5" s="1" t="s">
        <v>10</v>
      </c>
    </row>
    <row r="6" spans="1:3" x14ac:dyDescent="0.3">
      <c r="A6" t="s">
        <v>4</v>
      </c>
      <c r="B6">
        <v>14.007</v>
      </c>
      <c r="C6" s="1" t="s">
        <v>10</v>
      </c>
    </row>
    <row r="7" spans="1:3" x14ac:dyDescent="0.3">
      <c r="A7" t="s">
        <v>28</v>
      </c>
      <c r="B7">
        <v>12.010999999999999</v>
      </c>
      <c r="C7" s="1" t="s">
        <v>10</v>
      </c>
    </row>
    <row r="9" spans="1:3" x14ac:dyDescent="0.3">
      <c r="A9" t="s">
        <v>78</v>
      </c>
      <c r="B9">
        <f>2*B2+3*B4</f>
        <v>159.68700000000001</v>
      </c>
      <c r="C9" s="1" t="s">
        <v>10</v>
      </c>
    </row>
    <row r="10" spans="1:3" x14ac:dyDescent="0.3">
      <c r="A10" t="s">
        <v>81</v>
      </c>
      <c r="B10">
        <f>B3+B4</f>
        <v>79.545000000000002</v>
      </c>
      <c r="C10" s="1" t="s">
        <v>10</v>
      </c>
    </row>
    <row r="11" spans="1:3" x14ac:dyDescent="0.3">
      <c r="A11" t="s">
        <v>24</v>
      </c>
      <c r="B11">
        <f>B9+B10</f>
        <v>239.23200000000003</v>
      </c>
      <c r="C11" s="1" t="s">
        <v>10</v>
      </c>
    </row>
    <row r="13" spans="1:3" x14ac:dyDescent="0.3">
      <c r="A13" t="s">
        <v>9</v>
      </c>
      <c r="B13">
        <v>1</v>
      </c>
      <c r="C13" s="1" t="s">
        <v>11</v>
      </c>
    </row>
    <row r="14" spans="1:3" x14ac:dyDescent="0.3">
      <c r="A14" t="s">
        <v>12</v>
      </c>
      <c r="B14">
        <f>B13/B11</f>
        <v>4.1800428036383088E-3</v>
      </c>
      <c r="C14" s="1" t="s">
        <v>13</v>
      </c>
    </row>
    <row r="16" spans="1:3" x14ac:dyDescent="0.3">
      <c r="A16" t="s">
        <v>82</v>
      </c>
      <c r="B16">
        <v>1</v>
      </c>
      <c r="C16" s="1" t="s">
        <v>31</v>
      </c>
    </row>
    <row r="17" spans="1:3" x14ac:dyDescent="0.3">
      <c r="A17" t="s">
        <v>83</v>
      </c>
      <c r="B17">
        <v>1</v>
      </c>
      <c r="C17" s="1" t="s">
        <v>31</v>
      </c>
    </row>
    <row r="19" spans="1:3" x14ac:dyDescent="0.3">
      <c r="A19" t="s">
        <v>86</v>
      </c>
      <c r="B19">
        <f>B16*B14</f>
        <v>4.1800428036383088E-3</v>
      </c>
    </row>
    <row r="20" spans="1:3" x14ac:dyDescent="0.3">
      <c r="A20" t="s">
        <v>87</v>
      </c>
      <c r="B20">
        <f>B17*B14</f>
        <v>4.1800428036383088E-3</v>
      </c>
    </row>
    <row r="22" spans="1:3" x14ac:dyDescent="0.3">
      <c r="A22" t="s">
        <v>84</v>
      </c>
      <c r="B22">
        <f>B19*B9</f>
        <v>0.6674984951845907</v>
      </c>
      <c r="C22" t="s">
        <v>11</v>
      </c>
    </row>
    <row r="23" spans="1:3" x14ac:dyDescent="0.3">
      <c r="A23" t="s">
        <v>85</v>
      </c>
      <c r="B23">
        <f>B20*B10</f>
        <v>0.3325015048154093</v>
      </c>
      <c r="C23" t="s">
        <v>11</v>
      </c>
    </row>
    <row r="25" spans="1:3" x14ac:dyDescent="0.3">
      <c r="A25" t="s">
        <v>88</v>
      </c>
      <c r="B25">
        <v>0.98</v>
      </c>
    </row>
    <row r="26" spans="1:3" x14ac:dyDescent="0.3">
      <c r="A26" t="s">
        <v>89</v>
      </c>
      <c r="B26">
        <v>0.999</v>
      </c>
    </row>
    <row r="28" spans="1:3" x14ac:dyDescent="0.3">
      <c r="A28" t="s">
        <v>90</v>
      </c>
      <c r="B28">
        <f>B22/B25</f>
        <v>0.68112091345366399</v>
      </c>
    </row>
    <row r="29" spans="1:3" x14ac:dyDescent="0.3">
      <c r="A29" t="s">
        <v>91</v>
      </c>
      <c r="B29">
        <f>B23/B26</f>
        <v>0.33283433915456384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9D09-BC0B-487F-848E-E621F51E7715}">
  <dimension ref="A1:C29"/>
  <sheetViews>
    <sheetView workbookViewId="0">
      <selection activeCell="G14" sqref="G14"/>
    </sheetView>
  </sheetViews>
  <sheetFormatPr defaultRowHeight="14.4" x14ac:dyDescent="0.3"/>
  <cols>
    <col min="1" max="1" width="15.77734375" customWidth="1"/>
    <col min="2" max="2" width="14.33203125" customWidth="1"/>
  </cols>
  <sheetData>
    <row r="1" spans="1:3" x14ac:dyDescent="0.3">
      <c r="B1" t="s">
        <v>33</v>
      </c>
    </row>
    <row r="2" spans="1:3" x14ac:dyDescent="0.3">
      <c r="A2" t="s">
        <v>0</v>
      </c>
      <c r="B2">
        <v>55.844999999999999</v>
      </c>
      <c r="C2" s="1" t="s">
        <v>10</v>
      </c>
    </row>
    <row r="3" spans="1:3" x14ac:dyDescent="0.3">
      <c r="A3" t="s">
        <v>22</v>
      </c>
      <c r="B3">
        <v>40.078000000000003</v>
      </c>
      <c r="C3" s="1" t="s">
        <v>10</v>
      </c>
    </row>
    <row r="4" spans="1:3" x14ac:dyDescent="0.3">
      <c r="A4" t="s">
        <v>2</v>
      </c>
      <c r="B4">
        <v>15.999000000000001</v>
      </c>
      <c r="C4" s="1" t="s">
        <v>10</v>
      </c>
    </row>
    <row r="5" spans="1:3" x14ac:dyDescent="0.3">
      <c r="A5" t="s">
        <v>3</v>
      </c>
      <c r="B5">
        <v>1.0078400000000001</v>
      </c>
      <c r="C5" s="1" t="s">
        <v>10</v>
      </c>
    </row>
    <row r="6" spans="1:3" x14ac:dyDescent="0.3">
      <c r="A6" t="s">
        <v>4</v>
      </c>
      <c r="B6">
        <v>14.007</v>
      </c>
      <c r="C6" s="1" t="s">
        <v>10</v>
      </c>
    </row>
    <row r="7" spans="1:3" x14ac:dyDescent="0.3">
      <c r="A7" t="s">
        <v>28</v>
      </c>
      <c r="B7">
        <v>12.010999999999999</v>
      </c>
      <c r="C7" s="1" t="s">
        <v>10</v>
      </c>
    </row>
    <row r="9" spans="1:3" x14ac:dyDescent="0.3">
      <c r="A9" t="s">
        <v>78</v>
      </c>
      <c r="B9">
        <f>2*B2+3*B4</f>
        <v>159.68700000000001</v>
      </c>
      <c r="C9" s="1" t="s">
        <v>10</v>
      </c>
    </row>
    <row r="10" spans="1:3" x14ac:dyDescent="0.3">
      <c r="A10" t="s">
        <v>64</v>
      </c>
      <c r="B10">
        <f>B3+B4</f>
        <v>56.077000000000005</v>
      </c>
      <c r="C10" s="1" t="s">
        <v>10</v>
      </c>
    </row>
    <row r="11" spans="1:3" x14ac:dyDescent="0.3">
      <c r="A11" t="s">
        <v>8</v>
      </c>
      <c r="B11">
        <f>B9+B10</f>
        <v>215.76400000000001</v>
      </c>
      <c r="C11" s="1" t="s">
        <v>10</v>
      </c>
    </row>
    <row r="13" spans="1:3" x14ac:dyDescent="0.3">
      <c r="A13" t="s">
        <v>9</v>
      </c>
      <c r="B13">
        <v>1</v>
      </c>
      <c r="C13" s="1" t="s">
        <v>11</v>
      </c>
    </row>
    <row r="14" spans="1:3" x14ac:dyDescent="0.3">
      <c r="A14" t="s">
        <v>12</v>
      </c>
      <c r="B14">
        <f>B13/B11</f>
        <v>4.6346934613744643E-3</v>
      </c>
      <c r="C14" s="1" t="s">
        <v>13</v>
      </c>
    </row>
    <row r="16" spans="1:3" x14ac:dyDescent="0.3">
      <c r="A16" t="s">
        <v>82</v>
      </c>
      <c r="B16">
        <v>1</v>
      </c>
      <c r="C16" s="1" t="s">
        <v>31</v>
      </c>
    </row>
    <row r="17" spans="1:3" x14ac:dyDescent="0.3">
      <c r="A17" t="s">
        <v>83</v>
      </c>
      <c r="B17">
        <v>1</v>
      </c>
      <c r="C17" s="1" t="s">
        <v>31</v>
      </c>
    </row>
    <row r="19" spans="1:3" x14ac:dyDescent="0.3">
      <c r="A19" t="s">
        <v>86</v>
      </c>
      <c r="B19">
        <f>B16*B14</f>
        <v>4.6346934613744643E-3</v>
      </c>
    </row>
    <row r="20" spans="1:3" x14ac:dyDescent="0.3">
      <c r="A20" t="s">
        <v>87</v>
      </c>
      <c r="B20">
        <f>B17*B14</f>
        <v>4.6346934613744643E-3</v>
      </c>
    </row>
    <row r="22" spans="1:3" x14ac:dyDescent="0.3">
      <c r="A22" t="s">
        <v>84</v>
      </c>
      <c r="B22">
        <f>B19*B9</f>
        <v>0.74010029476650419</v>
      </c>
      <c r="C22" t="s">
        <v>11</v>
      </c>
    </row>
    <row r="23" spans="1:3" x14ac:dyDescent="0.3">
      <c r="A23" t="s">
        <v>85</v>
      </c>
      <c r="B23">
        <f>B20*B10</f>
        <v>0.25989970523349587</v>
      </c>
      <c r="C23" t="s">
        <v>11</v>
      </c>
    </row>
    <row r="25" spans="1:3" x14ac:dyDescent="0.3">
      <c r="A25" t="s">
        <v>88</v>
      </c>
      <c r="B25">
        <v>0.98</v>
      </c>
    </row>
    <row r="26" spans="1:3" x14ac:dyDescent="0.3">
      <c r="A26" t="s">
        <v>89</v>
      </c>
      <c r="B26">
        <v>0.999</v>
      </c>
    </row>
    <row r="28" spans="1:3" x14ac:dyDescent="0.3">
      <c r="A28" t="s">
        <v>90</v>
      </c>
      <c r="B28">
        <f>B22/B25</f>
        <v>0.75520438241480026</v>
      </c>
    </row>
    <row r="29" spans="1:3" x14ac:dyDescent="0.3">
      <c r="A29" t="s">
        <v>91</v>
      </c>
      <c r="B29">
        <f>B23/B26</f>
        <v>0.26015986509859446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LaFeO3</vt:lpstr>
      <vt:lpstr>Bi2CoCrO6</vt:lpstr>
      <vt:lpstr>CaFe2O4 (2)</vt:lpstr>
      <vt:lpstr>CaFe2O4</vt:lpstr>
      <vt:lpstr>CuFe2O4</vt:lpstr>
      <vt:lpstr>tables Ca &amp; SR</vt:lpstr>
      <vt:lpstr>Cu SR</vt:lpstr>
      <vt:lpstr>Ca 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Beltran</dc:creator>
  <cp:lastModifiedBy>jua diego Beltrán</cp:lastModifiedBy>
  <dcterms:created xsi:type="dcterms:W3CDTF">2025-09-06T23:30:31Z</dcterms:created>
  <dcterms:modified xsi:type="dcterms:W3CDTF">2026-09-29T00:15:40Z</dcterms:modified>
</cp:coreProperties>
</file>